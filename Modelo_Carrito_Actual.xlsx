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480" yWindow="620" windowWidth="19220" windowHeight="15860" tabRatio="860" firstSheet="0" activeTab="0" autoFilterDateGrouping="1"/>
  </bookViews>
  <sheets>
    <sheet name="FRAN 1" sheetId="1" state="visible" r:id="rId1"/>
    <sheet name="Hoja1" sheetId="2" state="visible" r:id="rId2"/>
    <sheet name="franquicias" sheetId="3" state="hidden" r:id="rId3"/>
    <sheet name="MATERIALES" sheetId="4" state="hidden" r:id="rId4"/>
    <sheet name="LISTA Z1" sheetId="5" state="hidden" r:id="rId5"/>
    <sheet name="multiplos " sheetId="6" state="hidden" r:id="rId6"/>
  </sheets>
  <definedNames>
    <definedName name="_xlnm._FilterDatabase" localSheetId="0" hidden="1">'FRAN 1'!$A$2:$K$126</definedName>
    <definedName name="_xlnm._FilterDatabase" localSheetId="3" hidden="1">'MATERIALES'!$A$1:$G$469</definedName>
    <definedName name="_xlnm._FilterDatabase" localSheetId="4" hidden="1">'LISTA Z1'!$A$1:$C$108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3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i val="1"/>
      <color theme="0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0"/>
      <sz val="22"/>
      <scheme val="minor"/>
    </font>
    <font>
      <name val="Calibri"/>
      <family val="2"/>
      <b val="1"/>
      <i val="1"/>
      <color theme="0"/>
      <sz val="2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i val="1"/>
      <color theme="0"/>
      <sz val="8"/>
      <scheme val="minor"/>
    </font>
    <font>
      <name val="Calibri"/>
      <family val="2"/>
      <b val="1"/>
      <i val="1"/>
      <color theme="0"/>
      <sz val="12"/>
      <scheme val="minor"/>
    </font>
    <font>
      <name val="Calibri"/>
      <family val="2"/>
      <b val="1"/>
      <i val="1"/>
      <color theme="0"/>
      <sz val="9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/>
      <sz val="24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36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i val="1"/>
      <color theme="0"/>
      <sz val="10"/>
      <scheme val="minor"/>
    </font>
    <font>
      <name val="Calibri"/>
      <family val="2"/>
      <b val="1"/>
      <sz val="11"/>
    </font>
    <font>
      <name val="Calibri"/>
      <family val="2"/>
      <color theme="1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9"/>
      <scheme val="minor"/>
    </font>
  </fonts>
  <fills count="1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9" fontId="1" fillId="0" borderId="0"/>
    <xf numFmtId="164" fontId="1" fillId="0" borderId="0"/>
  </cellStyleXfs>
  <cellXfs count="3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2" pivotButton="0" quotePrefix="0" xfId="0"/>
    <xf numFmtId="0" fontId="4" fillId="2" borderId="2" applyAlignment="1" pivotButton="0" quotePrefix="0" xfId="0">
      <alignment horizontal="center"/>
    </xf>
    <xf numFmtId="0" fontId="0" fillId="13" borderId="2" applyAlignment="1" pivotButton="0" quotePrefix="0" xfId="0">
      <alignment vertical="center"/>
    </xf>
    <xf numFmtId="0" fontId="0" fillId="13" borderId="2" pivotButton="0" quotePrefix="0" xfId="0"/>
    <xf numFmtId="0" fontId="0" fillId="13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0" fillId="3" borderId="2" applyAlignment="1" applyProtection="1" pivotButton="0" quotePrefix="0" xfId="0">
      <alignment vertical="top"/>
      <protection locked="0" hidden="0"/>
    </xf>
    <xf numFmtId="0" fontId="0" fillId="10" borderId="2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5" fillId="12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vertical="center"/>
      <protection locked="0" hidden="0"/>
    </xf>
    <xf numFmtId="0" fontId="0" fillId="12" borderId="0" applyProtection="1" pivotButton="0" quotePrefix="0" xfId="0">
      <protection locked="0" hidden="0"/>
    </xf>
    <xf numFmtId="0" fontId="0" fillId="4" borderId="2" applyAlignment="1" applyProtection="1" pivotButton="0" quotePrefix="0" xfId="0">
      <alignment vertical="top"/>
      <protection locked="0" hidden="0"/>
    </xf>
    <xf numFmtId="0" fontId="0" fillId="5" borderId="2" applyAlignment="1" applyProtection="1" pivotButton="0" quotePrefix="0" xfId="0">
      <alignment vertical="top"/>
      <protection locked="0" hidden="0"/>
    </xf>
    <xf numFmtId="0" fontId="0" fillId="6" borderId="2" applyAlignment="1" applyProtection="1" pivotButton="0" quotePrefix="0" xfId="0">
      <alignment vertical="top"/>
      <protection locked="0" hidden="0"/>
    </xf>
    <xf numFmtId="0" fontId="0" fillId="7" borderId="2" applyAlignment="1" applyProtection="1" pivotButton="0" quotePrefix="0" xfId="0">
      <alignment vertical="top"/>
      <protection locked="0" hidden="0"/>
    </xf>
    <xf numFmtId="0" fontId="0" fillId="9" borderId="2" applyAlignment="1" applyProtection="1" pivotButton="0" quotePrefix="0" xfId="0">
      <alignment vertical="top"/>
      <protection locked="0" hidden="0"/>
    </xf>
    <xf numFmtId="0" fontId="0" fillId="10" borderId="2" applyAlignment="1" applyProtection="1" pivotButton="0" quotePrefix="0" xfId="0">
      <alignment vertical="top"/>
      <protection locked="0" hidden="0"/>
    </xf>
    <xf numFmtId="4" fontId="0" fillId="0" borderId="0" pivotButton="0" quotePrefix="0" xfId="0"/>
    <xf numFmtId="2" fontId="0" fillId="0" borderId="0" pivotButton="0" quotePrefix="0" xfId="0"/>
    <xf numFmtId="0" fontId="2" fillId="11" borderId="4" applyAlignment="1" applyProtection="1" pivotButton="0" quotePrefix="0" xfId="0">
      <alignment horizontal="center" vertical="center"/>
      <protection locked="0" hidden="0"/>
    </xf>
    <xf numFmtId="0" fontId="2" fillId="11" borderId="6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12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0" fillId="14" borderId="2" pivotButton="0" quotePrefix="0" xfId="0"/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13" borderId="19" applyAlignment="1" pivotButton="0" quotePrefix="0" xfId="0">
      <alignment vertical="center"/>
    </xf>
    <xf numFmtId="0" fontId="0" fillId="13" borderId="19" pivotButton="0" quotePrefix="0" xfId="0"/>
    <xf numFmtId="0" fontId="0" fillId="3" borderId="0" applyAlignment="1" applyProtection="1" pivotButton="0" quotePrefix="0" xfId="0">
      <alignment horizontal="center"/>
      <protection locked="0" hidden="0"/>
    </xf>
    <xf numFmtId="0" fontId="16" fillId="0" borderId="0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2" fontId="16" fillId="0" borderId="0" applyProtection="1" pivotButton="0" quotePrefix="0" xfId="0">
      <protection locked="0" hidden="0"/>
    </xf>
    <xf numFmtId="0" fontId="0" fillId="3" borderId="23" applyAlignment="1" applyProtection="1" pivotButton="0" quotePrefix="0" xfId="0">
      <alignment horizontal="center"/>
      <protection locked="0" hidden="0"/>
    </xf>
    <xf numFmtId="0" fontId="0" fillId="5" borderId="24" applyAlignment="1" applyProtection="1" pivotButton="0" quotePrefix="0" xfId="0">
      <alignment vertical="top"/>
      <protection locked="0" hidden="0"/>
    </xf>
    <xf numFmtId="0" fontId="0" fillId="5" borderId="25" applyAlignment="1" applyProtection="1" pivotButton="0" quotePrefix="0" xfId="0">
      <alignment vertical="top"/>
      <protection locked="0" hidden="0"/>
    </xf>
    <xf numFmtId="0" fontId="0" fillId="5" borderId="28" applyAlignment="1" applyProtection="1" pivotButton="0" quotePrefix="0" xfId="0">
      <alignment vertical="top"/>
      <protection locked="0" hidden="0"/>
    </xf>
    <xf numFmtId="0" fontId="0" fillId="5" borderId="30" applyAlignment="1" applyProtection="1" pivotButton="0" quotePrefix="0" xfId="0">
      <alignment vertical="top"/>
      <protection locked="0" hidden="0"/>
    </xf>
    <xf numFmtId="0" fontId="0" fillId="5" borderId="31" applyAlignment="1" applyProtection="1" pivotButton="0" quotePrefix="0" xfId="0">
      <alignment vertical="top"/>
      <protection locked="0" hidden="0"/>
    </xf>
    <xf numFmtId="0" fontId="0" fillId="3" borderId="20" applyAlignment="1" applyProtection="1" pivotButton="0" quotePrefix="0" xfId="0">
      <alignment vertical="top"/>
      <protection locked="0" hidden="0"/>
    </xf>
    <xf numFmtId="0" fontId="0" fillId="4" borderId="24" applyAlignment="1" applyProtection="1" pivotButton="0" quotePrefix="0" xfId="0">
      <alignment vertical="top"/>
      <protection locked="0" hidden="0"/>
    </xf>
    <xf numFmtId="0" fontId="0" fillId="4" borderId="25" applyAlignment="1" applyProtection="1" pivotButton="0" quotePrefix="0" xfId="0">
      <alignment vertical="top"/>
      <protection locked="0" hidden="0"/>
    </xf>
    <xf numFmtId="0" fontId="0" fillId="4" borderId="28" applyAlignment="1" applyProtection="1" pivotButton="0" quotePrefix="0" xfId="0">
      <alignment vertical="top"/>
      <protection locked="0" hidden="0"/>
    </xf>
    <xf numFmtId="0" fontId="0" fillId="4" borderId="30" applyAlignment="1" applyProtection="1" pivotButton="0" quotePrefix="0" xfId="0">
      <alignment vertical="top"/>
      <protection locked="0" hidden="0"/>
    </xf>
    <xf numFmtId="0" fontId="0" fillId="4" borderId="31" applyAlignment="1" applyProtection="1" pivotButton="0" quotePrefix="0" xfId="0">
      <alignment vertical="top"/>
      <protection locked="0" hidden="0"/>
    </xf>
    <xf numFmtId="0" fontId="0" fillId="6" borderId="24" applyAlignment="1" applyProtection="1" pivotButton="0" quotePrefix="0" xfId="0">
      <alignment vertical="top"/>
      <protection locked="0" hidden="0"/>
    </xf>
    <xf numFmtId="0" fontId="0" fillId="6" borderId="25" applyAlignment="1" applyProtection="1" pivotButton="0" quotePrefix="0" xfId="0">
      <alignment vertical="top"/>
      <protection locked="0" hidden="0"/>
    </xf>
    <xf numFmtId="0" fontId="0" fillId="6" borderId="28" applyAlignment="1" applyProtection="1" pivotButton="0" quotePrefix="0" xfId="0">
      <alignment vertical="top"/>
      <protection locked="0" hidden="0"/>
    </xf>
    <xf numFmtId="0" fontId="0" fillId="6" borderId="30" applyAlignment="1" applyProtection="1" pivotButton="0" quotePrefix="0" xfId="0">
      <alignment vertical="top"/>
      <protection locked="0" hidden="0"/>
    </xf>
    <xf numFmtId="0" fontId="0" fillId="6" borderId="31" applyAlignment="1" applyProtection="1" pivotButton="0" quotePrefix="0" xfId="0">
      <alignment vertical="top"/>
      <protection locked="0" hidden="0"/>
    </xf>
    <xf numFmtId="0" fontId="0" fillId="7" borderId="24" applyAlignment="1" applyProtection="1" pivotButton="0" quotePrefix="0" xfId="0">
      <alignment vertical="top"/>
      <protection locked="0" hidden="0"/>
    </xf>
    <xf numFmtId="0" fontId="0" fillId="7" borderId="25" applyAlignment="1" applyProtection="1" pivotButton="0" quotePrefix="0" xfId="0">
      <alignment vertical="top"/>
      <protection locked="0" hidden="0"/>
    </xf>
    <xf numFmtId="0" fontId="0" fillId="7" borderId="28" applyAlignment="1" applyProtection="1" pivotButton="0" quotePrefix="0" xfId="0">
      <alignment vertical="top"/>
      <protection locked="0" hidden="0"/>
    </xf>
    <xf numFmtId="0" fontId="0" fillId="8" borderId="24" applyAlignment="1" applyProtection="1" pivotButton="0" quotePrefix="0" xfId="0">
      <alignment vertical="top"/>
      <protection locked="0" hidden="0"/>
    </xf>
    <xf numFmtId="0" fontId="0" fillId="8" borderId="25" applyAlignment="1" applyProtection="1" pivotButton="0" quotePrefix="0" xfId="0">
      <alignment vertical="top"/>
      <protection locked="0" hidden="0"/>
    </xf>
    <xf numFmtId="0" fontId="0" fillId="8" borderId="30" applyAlignment="1" applyProtection="1" pivotButton="0" quotePrefix="0" xfId="0">
      <alignment vertical="top"/>
      <protection locked="0" hidden="0"/>
    </xf>
    <xf numFmtId="0" fontId="0" fillId="8" borderId="31" applyAlignment="1" applyProtection="1" pivotButton="0" quotePrefix="0" xfId="0">
      <alignment vertical="top"/>
      <protection locked="0" hidden="0"/>
    </xf>
    <xf numFmtId="0" fontId="0" fillId="9" borderId="24" applyAlignment="1" applyProtection="1" pivotButton="0" quotePrefix="0" xfId="0">
      <alignment vertical="top"/>
      <protection locked="0" hidden="0"/>
    </xf>
    <xf numFmtId="0" fontId="0" fillId="9" borderId="25" applyAlignment="1" applyProtection="1" pivotButton="0" quotePrefix="0" xfId="0">
      <alignment vertical="top"/>
      <protection locked="0" hidden="0"/>
    </xf>
    <xf numFmtId="0" fontId="0" fillId="9" borderId="28" applyAlignment="1" applyProtection="1" pivotButton="0" quotePrefix="0" xfId="0">
      <alignment vertical="top"/>
      <protection locked="0" hidden="0"/>
    </xf>
    <xf numFmtId="0" fontId="0" fillId="9" borderId="30" applyAlignment="1" applyProtection="1" pivotButton="0" quotePrefix="0" xfId="0">
      <alignment vertical="top"/>
      <protection locked="0" hidden="0"/>
    </xf>
    <xf numFmtId="0" fontId="0" fillId="9" borderId="31" applyAlignment="1" applyProtection="1" pivotButton="0" quotePrefix="0" xfId="0">
      <alignment vertical="top"/>
      <protection locked="0" hidden="0"/>
    </xf>
    <xf numFmtId="0" fontId="0" fillId="10" borderId="24" applyAlignment="1" applyProtection="1" pivotButton="0" quotePrefix="0" xfId="0">
      <alignment vertical="top"/>
      <protection locked="0" hidden="0"/>
    </xf>
    <xf numFmtId="0" fontId="0" fillId="10" borderId="25" applyAlignment="1" applyProtection="1" pivotButton="0" quotePrefix="0" xfId="0">
      <alignment vertical="top"/>
      <protection locked="0" hidden="0"/>
    </xf>
    <xf numFmtId="0" fontId="0" fillId="10" borderId="28" applyAlignment="1" applyProtection="1" pivotButton="0" quotePrefix="0" xfId="0">
      <alignment vertical="top"/>
      <protection locked="0" hidden="0"/>
    </xf>
    <xf numFmtId="0" fontId="0" fillId="10" borderId="30" applyAlignment="1" applyProtection="1" pivotButton="0" quotePrefix="0" xfId="0">
      <alignment vertical="top"/>
      <protection locked="0" hidden="0"/>
    </xf>
    <xf numFmtId="0" fontId="0" fillId="10" borderId="31" applyAlignment="1" applyProtection="1" pivotButton="0" quotePrefix="0" xfId="0">
      <alignment vertical="top"/>
      <protection locked="0" hidden="0"/>
    </xf>
    <xf numFmtId="0" fontId="0" fillId="0" borderId="17" applyAlignment="1" applyProtection="1" pivotButton="0" quotePrefix="0" xfId="0">
      <alignment horizontal="center"/>
      <protection locked="0" hidden="0"/>
    </xf>
    <xf numFmtId="0" fontId="2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22" fillId="0" borderId="0" pivotButton="0" quotePrefix="0" xfId="0"/>
    <xf numFmtId="0" fontId="24" fillId="3" borderId="0" applyAlignment="1" applyProtection="1" pivotButton="0" quotePrefix="0" xfId="0">
      <alignment horizontal="center" vertical="center"/>
      <protection locked="0" hidden="0"/>
    </xf>
    <xf numFmtId="0" fontId="23" fillId="5" borderId="0" applyAlignment="1" applyProtection="1" pivotButton="0" quotePrefix="0" xfId="0">
      <alignment horizontal="center" vertical="center"/>
      <protection locked="0" hidden="0"/>
    </xf>
    <xf numFmtId="0" fontId="0" fillId="3" borderId="2" pivotButton="0" quotePrefix="0" xfId="0"/>
    <xf numFmtId="0" fontId="0" fillId="3" borderId="0" applyAlignment="1" pivotButton="0" quotePrefix="0" xfId="0">
      <alignment vertical="top"/>
    </xf>
    <xf numFmtId="0" fontId="0" fillId="5" borderId="10" pivotButton="0" quotePrefix="0" xfId="0"/>
    <xf numFmtId="0" fontId="0" fillId="5" borderId="2" pivotButton="0" quotePrefix="0" xfId="0"/>
    <xf numFmtId="0" fontId="2" fillId="5" borderId="1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3" fillId="0" borderId="19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2" fontId="16" fillId="0" borderId="14" applyProtection="1" pivotButton="0" quotePrefix="0" xfId="0">
      <protection locked="0" hidden="0"/>
    </xf>
    <xf numFmtId="0" fontId="16" fillId="0" borderId="14" applyProtection="1" pivotButton="0" quotePrefix="0" xfId="0">
      <protection locked="0" hidden="0"/>
    </xf>
    <xf numFmtId="0" fontId="16" fillId="0" borderId="5" applyProtection="1" pivotButton="0" quotePrefix="0" xfId="0">
      <protection locked="0" hidden="0"/>
    </xf>
    <xf numFmtId="2" fontId="0" fillId="0" borderId="15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2" fontId="16" fillId="0" borderId="16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6" fillId="0" borderId="17" applyProtection="1" pivotButton="0" quotePrefix="0" xfId="0">
      <protection locked="0" hidden="0"/>
    </xf>
    <xf numFmtId="0" fontId="0" fillId="10" borderId="2" applyAlignment="1" pivotButton="0" quotePrefix="0" xfId="0">
      <alignment horizontal="center"/>
    </xf>
    <xf numFmtId="2" fontId="0" fillId="10" borderId="31" applyAlignment="1" pivotButton="0" quotePrefix="0" xfId="2">
      <alignment horizontal="center"/>
    </xf>
    <xf numFmtId="164" fontId="0" fillId="10" borderId="25" applyAlignment="1" pivotButton="0" quotePrefix="0" xfId="2">
      <alignment horizontal="center"/>
    </xf>
    <xf numFmtId="0" fontId="0" fillId="10" borderId="25" applyAlignment="1" pivotButton="0" quotePrefix="0" xfId="0">
      <alignment horizontal="center"/>
    </xf>
    <xf numFmtId="0" fontId="0" fillId="10" borderId="26" applyAlignment="1" pivotButton="0" quotePrefix="0" xfId="0">
      <alignment horizontal="center"/>
    </xf>
    <xf numFmtId="164" fontId="0" fillId="10" borderId="2" applyAlignment="1" pivotButton="0" quotePrefix="0" xfId="2">
      <alignment horizontal="center"/>
    </xf>
    <xf numFmtId="0" fontId="0" fillId="10" borderId="21" applyAlignment="1" pivotButton="0" quotePrefix="0" xfId="0">
      <alignment horizontal="center"/>
    </xf>
    <xf numFmtId="164" fontId="0" fillId="10" borderId="31" applyAlignment="1" pivotButton="0" quotePrefix="0" xfId="2">
      <alignment horizontal="center"/>
    </xf>
    <xf numFmtId="0" fontId="0" fillId="10" borderId="31" applyAlignment="1" pivotButton="0" quotePrefix="0" xfId="0">
      <alignment horizontal="center"/>
    </xf>
    <xf numFmtId="0" fontId="0" fillId="10" borderId="33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10" borderId="37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" fontId="16" fillId="0" borderId="15" pivotButton="0" quotePrefix="0" xfId="0"/>
    <xf numFmtId="2" fontId="16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16" fillId="0" borderId="16" pivotButton="0" quotePrefix="0" xfId="0"/>
    <xf numFmtId="0" fontId="3" fillId="0" borderId="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2" applyAlignment="1" pivotButton="0" quotePrefix="0" xfId="0">
      <alignment vertical="top"/>
    </xf>
    <xf numFmtId="0" fontId="0" fillId="3" borderId="20" applyAlignment="1" pivotButton="0" quotePrefix="0" xfId="0">
      <alignment vertical="top"/>
    </xf>
    <xf numFmtId="0" fontId="0" fillId="4" borderId="24" applyAlignment="1" pivotButton="0" quotePrefix="0" xfId="0">
      <alignment vertical="top"/>
    </xf>
    <xf numFmtId="0" fontId="0" fillId="4" borderId="25" applyAlignment="1" pivotButton="0" quotePrefix="0" xfId="0">
      <alignment vertical="top"/>
    </xf>
    <xf numFmtId="0" fontId="0" fillId="4" borderId="28" applyAlignment="1" pivotButton="0" quotePrefix="0" xfId="0">
      <alignment vertical="top"/>
    </xf>
    <xf numFmtId="0" fontId="0" fillId="4" borderId="2" applyAlignment="1" pivotButton="0" quotePrefix="0" xfId="0">
      <alignment vertical="top"/>
    </xf>
    <xf numFmtId="0" fontId="0" fillId="4" borderId="30" applyAlignment="1" pivotButton="0" quotePrefix="0" xfId="0">
      <alignment vertical="top"/>
    </xf>
    <xf numFmtId="0" fontId="0" fillId="4" borderId="31" applyAlignment="1" pivotButton="0" quotePrefix="0" xfId="0">
      <alignment vertical="top"/>
    </xf>
    <xf numFmtId="0" fontId="0" fillId="5" borderId="24" applyAlignment="1" pivotButton="0" quotePrefix="0" xfId="0">
      <alignment vertical="top"/>
    </xf>
    <xf numFmtId="0" fontId="0" fillId="5" borderId="25" applyAlignment="1" pivotButton="0" quotePrefix="0" xfId="0">
      <alignment vertical="top"/>
    </xf>
    <xf numFmtId="0" fontId="0" fillId="5" borderId="28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0" fillId="5" borderId="30" applyAlignment="1" pivotButton="0" quotePrefix="0" xfId="0">
      <alignment vertical="top"/>
    </xf>
    <xf numFmtId="0" fontId="0" fillId="5" borderId="31" applyAlignment="1" pivotButton="0" quotePrefix="0" xfId="0">
      <alignment vertical="top"/>
    </xf>
    <xf numFmtId="0" fontId="0" fillId="6" borderId="24" applyAlignment="1" pivotButton="0" quotePrefix="0" xfId="0">
      <alignment vertical="top"/>
    </xf>
    <xf numFmtId="0" fontId="0" fillId="6" borderId="25" applyAlignment="1" pivotButton="0" quotePrefix="0" xfId="0">
      <alignment vertical="top"/>
    </xf>
    <xf numFmtId="0" fontId="0" fillId="6" borderId="28" applyAlignment="1" pivotButton="0" quotePrefix="0" xfId="0">
      <alignment vertical="top"/>
    </xf>
    <xf numFmtId="0" fontId="0" fillId="6" borderId="2" applyAlignment="1" pivotButton="0" quotePrefix="0" xfId="0">
      <alignment vertical="top"/>
    </xf>
    <xf numFmtId="0" fontId="0" fillId="6" borderId="30" applyAlignment="1" pivotButton="0" quotePrefix="0" xfId="0">
      <alignment vertical="top"/>
    </xf>
    <xf numFmtId="0" fontId="0" fillId="6" borderId="31" applyAlignment="1" pivotButton="0" quotePrefix="0" xfId="0">
      <alignment vertical="top"/>
    </xf>
    <xf numFmtId="0" fontId="0" fillId="7" borderId="24" applyAlignment="1" pivotButton="0" quotePrefix="0" xfId="0">
      <alignment vertical="top"/>
    </xf>
    <xf numFmtId="0" fontId="0" fillId="7" borderId="25" applyAlignment="1" pivotButton="0" quotePrefix="0" xfId="0">
      <alignment vertical="top"/>
    </xf>
    <xf numFmtId="0" fontId="0" fillId="7" borderId="28" applyAlignment="1" pivotButton="0" quotePrefix="0" xfId="0">
      <alignment vertical="top"/>
    </xf>
    <xf numFmtId="0" fontId="0" fillId="7" borderId="2" applyAlignment="1" pivotButton="0" quotePrefix="0" xfId="0">
      <alignment vertical="top"/>
    </xf>
    <xf numFmtId="0" fontId="0" fillId="8" borderId="24" applyAlignment="1" pivotButton="0" quotePrefix="0" xfId="0">
      <alignment vertical="top"/>
    </xf>
    <xf numFmtId="0" fontId="0" fillId="8" borderId="25" applyAlignment="1" pivotButton="0" quotePrefix="0" xfId="0">
      <alignment vertical="top"/>
    </xf>
    <xf numFmtId="0" fontId="0" fillId="8" borderId="30" applyAlignment="1" pivotButton="0" quotePrefix="0" xfId="0">
      <alignment vertical="top"/>
    </xf>
    <xf numFmtId="0" fontId="0" fillId="8" borderId="31" applyAlignment="1" pivotButton="0" quotePrefix="0" xfId="0">
      <alignment vertical="top"/>
    </xf>
    <xf numFmtId="0" fontId="0" fillId="9" borderId="24" applyAlignment="1" pivotButton="0" quotePrefix="0" xfId="0">
      <alignment vertical="top"/>
    </xf>
    <xf numFmtId="0" fontId="0" fillId="9" borderId="25" applyAlignment="1" pivotButton="0" quotePrefix="0" xfId="0">
      <alignment vertical="top"/>
    </xf>
    <xf numFmtId="0" fontId="0" fillId="9" borderId="28" applyAlignment="1" pivotButton="0" quotePrefix="0" xfId="0">
      <alignment vertical="top"/>
    </xf>
    <xf numFmtId="0" fontId="0" fillId="9" borderId="2" applyAlignment="1" pivotButton="0" quotePrefix="0" xfId="0">
      <alignment vertical="top"/>
    </xf>
    <xf numFmtId="0" fontId="0" fillId="9" borderId="30" applyAlignment="1" pivotButton="0" quotePrefix="0" xfId="0">
      <alignment vertical="top"/>
    </xf>
    <xf numFmtId="0" fontId="0" fillId="9" borderId="31" applyAlignment="1" pivotButton="0" quotePrefix="0" xfId="0">
      <alignment vertical="top"/>
    </xf>
    <xf numFmtId="0" fontId="0" fillId="10" borderId="24" applyAlignment="1" pivotButton="0" quotePrefix="0" xfId="0">
      <alignment vertical="top"/>
    </xf>
    <xf numFmtId="0" fontId="0" fillId="10" borderId="25" applyAlignment="1" pivotButton="0" quotePrefix="0" xfId="0">
      <alignment vertical="top"/>
    </xf>
    <xf numFmtId="0" fontId="0" fillId="10" borderId="28" applyAlignment="1" pivotButton="0" quotePrefix="0" xfId="0">
      <alignment vertical="top"/>
    </xf>
    <xf numFmtId="0" fontId="0" fillId="10" borderId="2" applyAlignment="1" pivotButton="0" quotePrefix="0" xfId="0">
      <alignment vertical="top"/>
    </xf>
    <xf numFmtId="0" fontId="0" fillId="10" borderId="30" applyAlignment="1" pivotButton="0" quotePrefix="0" xfId="0">
      <alignment vertical="top"/>
    </xf>
    <xf numFmtId="0" fontId="0" fillId="10" borderId="31" applyAlignment="1" pivotButton="0" quotePrefix="0" xfId="0">
      <alignment vertical="top"/>
    </xf>
    <xf numFmtId="0" fontId="0" fillId="3" borderId="2" applyAlignment="1" pivotButton="0" quotePrefix="0" xfId="0">
      <alignment horizontal="center"/>
    </xf>
    <xf numFmtId="164" fontId="0" fillId="10" borderId="20" applyAlignment="1" pivotButton="0" quotePrefix="0" xfId="2">
      <alignment horizontal="center"/>
    </xf>
    <xf numFmtId="0" fontId="0" fillId="10" borderId="20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6" fillId="2" borderId="0" applyAlignment="1" applyProtection="1" pivotButton="0" quotePrefix="0" xfId="0">
      <alignment horizontal="center"/>
      <protection locked="0" hidden="0"/>
    </xf>
    <xf numFmtId="0" fontId="0" fillId="4" borderId="27" applyAlignment="1" pivotButton="0" quotePrefix="0" xfId="0">
      <alignment horizontal="center"/>
    </xf>
    <xf numFmtId="0" fontId="0" fillId="4" borderId="29" applyAlignment="1" pivotButton="0" quotePrefix="0" xfId="0">
      <alignment horizontal="center"/>
    </xf>
    <xf numFmtId="0" fontId="0" fillId="4" borderId="34" applyAlignment="1" pivotButton="0" quotePrefix="0" xfId="0">
      <alignment horizontal="center"/>
    </xf>
    <xf numFmtId="0" fontId="0" fillId="5" borderId="27" applyAlignment="1" pivotButton="0" quotePrefix="0" xfId="0">
      <alignment horizontal="center"/>
    </xf>
    <xf numFmtId="0" fontId="0" fillId="5" borderId="29" applyAlignment="1" pivotButton="0" quotePrefix="0" xfId="0">
      <alignment horizontal="center"/>
    </xf>
    <xf numFmtId="0" fontId="0" fillId="5" borderId="34" applyAlignment="1" pivotButton="0" quotePrefix="0" xfId="0">
      <alignment horizontal="center"/>
    </xf>
    <xf numFmtId="0" fontId="0" fillId="6" borderId="27" applyAlignment="1" pivotButton="0" quotePrefix="0" xfId="0">
      <alignment horizontal="center"/>
    </xf>
    <xf numFmtId="0" fontId="0" fillId="6" borderId="29" applyAlignment="1" pivotButton="0" quotePrefix="0" xfId="0">
      <alignment horizontal="center"/>
    </xf>
    <xf numFmtId="0" fontId="0" fillId="6" borderId="34" applyAlignment="1" pivotButton="0" quotePrefix="0" xfId="0">
      <alignment horizontal="center"/>
    </xf>
    <xf numFmtId="0" fontId="0" fillId="7" borderId="35" applyAlignment="1" pivotButton="0" quotePrefix="0" xfId="0">
      <alignment horizontal="center"/>
    </xf>
    <xf numFmtId="0" fontId="0" fillId="7" borderId="36" applyAlignment="1" pivotButton="0" quotePrefix="0" xfId="0">
      <alignment horizontal="center"/>
    </xf>
    <xf numFmtId="0" fontId="0" fillId="8" borderId="27" applyAlignment="1" pivotButton="0" quotePrefix="0" xfId="0">
      <alignment horizontal="center"/>
    </xf>
    <xf numFmtId="0" fontId="0" fillId="9" borderId="27" applyAlignment="1" pivotButton="0" quotePrefix="0" xfId="0">
      <alignment horizontal="center"/>
    </xf>
    <xf numFmtId="0" fontId="0" fillId="9" borderId="29" applyAlignment="1" pivotButton="0" quotePrefix="0" xfId="0">
      <alignment horizontal="center"/>
    </xf>
    <xf numFmtId="0" fontId="0" fillId="9" borderId="34" applyAlignment="1" pivotButton="0" quotePrefix="0" xfId="0">
      <alignment horizontal="center"/>
    </xf>
    <xf numFmtId="0" fontId="0" fillId="10" borderId="27" applyAlignment="1" pivotButton="0" quotePrefix="0" xfId="0">
      <alignment horizontal="center"/>
    </xf>
    <xf numFmtId="0" fontId="0" fillId="10" borderId="29" applyAlignment="1" pivotButton="0" quotePrefix="0" xfId="0">
      <alignment horizontal="center"/>
    </xf>
    <xf numFmtId="0" fontId="0" fillId="10" borderId="34" applyAlignment="1" pivotButton="0" quotePrefix="0" xfId="0">
      <alignment horizontal="center"/>
    </xf>
    <xf numFmtId="0" fontId="29" fillId="10" borderId="1" applyAlignment="1" pivotButton="0" quotePrefix="0" xfId="0">
      <alignment vertical="center"/>
    </xf>
    <xf numFmtId="0" fontId="29" fillId="10" borderId="3" applyAlignment="1" pivotButton="0" quotePrefix="0" xfId="0">
      <alignment vertical="center"/>
    </xf>
    <xf numFmtId="0" fontId="29" fillId="3" borderId="11" applyAlignment="1" pivotButton="0" quotePrefix="0" xfId="0">
      <alignment vertical="center"/>
    </xf>
    <xf numFmtId="0" fontId="4" fillId="2" borderId="3" pivotButton="0" quotePrefix="0" xfId="0"/>
    <xf numFmtId="0" fontId="13" fillId="2" borderId="3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wrapText="1"/>
    </xf>
    <xf numFmtId="0" fontId="11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wrapText="1"/>
    </xf>
    <xf numFmtId="0" fontId="4" fillId="2" borderId="1" pivotButton="0" quotePrefix="0" xfId="0"/>
    <xf numFmtId="0" fontId="4" fillId="12" borderId="8" pivotButton="0" quotePrefix="0" xfId="0"/>
    <xf numFmtId="0" fontId="12" fillId="2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/>
    </xf>
    <xf numFmtId="9" fontId="3" fillId="3" borderId="1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9" fontId="3" fillId="3" borderId="2" applyAlignment="1" pivotButton="0" quotePrefix="0" xfId="0">
      <alignment horizontal="center" vertical="center"/>
    </xf>
    <xf numFmtId="10" fontId="19" fillId="3" borderId="2" applyAlignment="1" pivotButton="0" quotePrefix="0" xfId="0">
      <alignment horizontal="center" vertical="center"/>
    </xf>
    <xf numFmtId="9" fontId="19" fillId="3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3" borderId="16" applyAlignment="1" pivotButton="0" quotePrefix="0" xfId="0">
      <alignment vertical="center"/>
    </xf>
    <xf numFmtId="0" fontId="0" fillId="10" borderId="23" applyAlignment="1" pivotButton="0" quotePrefix="0" xfId="0">
      <alignment horizontal="center"/>
    </xf>
    <xf numFmtId="0" fontId="21" fillId="2" borderId="1" applyAlignment="1" pivotButton="0" quotePrefix="0" xfId="0">
      <alignment horizontal="center" vertical="center" wrapText="1"/>
    </xf>
    <xf numFmtId="0" fontId="0" fillId="8" borderId="38" applyAlignment="1" pivotButton="0" quotePrefix="0" xfId="0">
      <alignment vertical="top"/>
    </xf>
    <xf numFmtId="0" fontId="0" fillId="8" borderId="19" applyAlignment="1" pivotButton="0" quotePrefix="0" xfId="0">
      <alignment vertical="top"/>
    </xf>
    <xf numFmtId="164" fontId="0" fillId="10" borderId="19" applyAlignment="1" pivotButton="0" quotePrefix="0" xfId="2">
      <alignment horizontal="center"/>
    </xf>
    <xf numFmtId="0" fontId="0" fillId="10" borderId="19" applyAlignment="1" pivotButton="0" quotePrefix="0" xfId="0">
      <alignment horizontal="center"/>
    </xf>
    <xf numFmtId="0" fontId="0" fillId="10" borderId="39" applyAlignment="1" pivotButton="0" quotePrefix="0" xfId="0">
      <alignment horizontal="center"/>
    </xf>
    <xf numFmtId="0" fontId="0" fillId="8" borderId="27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/>
    </xf>
    <xf numFmtId="164" fontId="0" fillId="9" borderId="10" applyAlignment="1" pivotButton="0" quotePrefix="0" xfId="2">
      <alignment horizontal="center"/>
    </xf>
    <xf numFmtId="0" fontId="0" fillId="9" borderId="10" applyAlignment="1" pivotButton="0" quotePrefix="0" xfId="0">
      <alignment horizontal="center"/>
    </xf>
    <xf numFmtId="0" fontId="0" fillId="9" borderId="37" applyAlignment="1" pivotButton="0" quotePrefix="0" xfId="0">
      <alignment horizontal="center"/>
    </xf>
    <xf numFmtId="0" fontId="0" fillId="9" borderId="1" applyAlignment="1" pivotButton="0" quotePrefix="0" xfId="0">
      <alignment vertical="center"/>
    </xf>
    <xf numFmtId="0" fontId="0" fillId="2" borderId="40" applyAlignment="1" pivotButton="0" quotePrefix="0" xfId="0">
      <alignment vertical="top"/>
    </xf>
    <xf numFmtId="0" fontId="0" fillId="2" borderId="10" applyAlignment="1" pivotButton="0" quotePrefix="0" xfId="0">
      <alignment vertical="top"/>
    </xf>
    <xf numFmtId="0" fontId="0" fillId="2" borderId="41" applyAlignment="1" pivotButton="0" quotePrefix="0" xfId="0">
      <alignment horizontal="center"/>
    </xf>
    <xf numFmtId="0" fontId="3" fillId="10" borderId="2" applyAlignment="1" pivotButton="0" quotePrefix="0" xfId="0">
      <alignment vertical="top"/>
    </xf>
    <xf numFmtId="0" fontId="0" fillId="5" borderId="42" applyAlignment="1" pivotButton="0" quotePrefix="0" xfId="0">
      <alignment vertical="top"/>
    </xf>
    <xf numFmtId="0" fontId="0" fillId="5" borderId="20" applyAlignment="1" pivotButton="0" quotePrefix="0" xfId="0">
      <alignment vertical="top"/>
    </xf>
    <xf numFmtId="0" fontId="0" fillId="10" borderId="43" applyAlignment="1" pivotButton="0" quotePrefix="0" xfId="0">
      <alignment horizontal="center"/>
    </xf>
    <xf numFmtId="0" fontId="30" fillId="0" borderId="3" applyAlignment="1" pivotButton="0" quotePrefix="0" xfId="0">
      <alignment horizontal="center" vertical="center"/>
    </xf>
    <xf numFmtId="0" fontId="30" fillId="0" borderId="13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/>
    </xf>
    <xf numFmtId="0" fontId="14" fillId="2" borderId="3" applyAlignment="1" applyProtection="1" pivotButton="0" quotePrefix="0" xfId="0">
      <alignment horizontal="center" vertical="top" textRotation="255"/>
      <protection locked="0" hidden="0"/>
    </xf>
    <xf numFmtId="0" fontId="14" fillId="2" borderId="13" applyAlignment="1" applyProtection="1" pivotButton="0" quotePrefix="0" xfId="0">
      <alignment horizontal="center" vertical="top" textRotation="255"/>
      <protection locked="0" hidden="0"/>
    </xf>
    <xf numFmtId="0" fontId="17" fillId="10" borderId="3" applyAlignment="1" pivotButton="0" quotePrefix="0" xfId="0">
      <alignment horizontal="center" vertical="center"/>
    </xf>
    <xf numFmtId="0" fontId="17" fillId="10" borderId="13" applyAlignment="1" pivotButton="0" quotePrefix="0" xfId="0">
      <alignment horizontal="center" vertical="center"/>
    </xf>
    <xf numFmtId="2" fontId="18" fillId="0" borderId="4" applyAlignment="1" pivotButton="0" quotePrefix="0" xfId="0">
      <alignment horizontal="center" vertical="center"/>
    </xf>
    <xf numFmtId="2" fontId="18" fillId="0" borderId="14" applyAlignment="1" pivotButton="0" quotePrefix="0" xfId="0">
      <alignment horizontal="center" vertical="center"/>
    </xf>
    <xf numFmtId="2" fontId="18" fillId="0" borderId="5" applyAlignment="1" pivotButton="0" quotePrefix="0" xfId="0">
      <alignment horizontal="center" vertical="center"/>
    </xf>
    <xf numFmtId="2" fontId="18" fillId="0" borderId="15" applyAlignment="1" pivotButton="0" quotePrefix="0" xfId="0">
      <alignment horizontal="center" vertical="center"/>
    </xf>
    <xf numFmtId="2" fontId="18" fillId="0" borderId="0" applyAlignment="1" pivotButton="0" quotePrefix="0" xfId="0">
      <alignment horizontal="center" vertical="center"/>
    </xf>
    <xf numFmtId="2" fontId="18" fillId="0" borderId="16" applyAlignment="1" pivotButton="0" quotePrefix="0" xfId="0">
      <alignment horizontal="center" vertical="center"/>
    </xf>
    <xf numFmtId="2" fontId="18" fillId="0" borderId="6" applyAlignment="1" pivotButton="0" quotePrefix="0" xfId="0">
      <alignment horizontal="center" vertical="center"/>
    </xf>
    <xf numFmtId="2" fontId="18" fillId="0" borderId="17" applyAlignment="1" pivotButton="0" quotePrefix="0" xfId="0">
      <alignment horizontal="center" vertical="center"/>
    </xf>
    <xf numFmtId="2" fontId="18" fillId="0" borderId="7" applyAlignment="1" pivotButton="0" quotePrefix="0" xfId="0">
      <alignment horizontal="center" vertical="center"/>
    </xf>
    <xf numFmtId="0" fontId="31" fillId="2" borderId="8" applyAlignment="1" applyProtection="1" pivotButton="0" quotePrefix="0" xfId="0">
      <alignment horizontal="center"/>
      <protection locked="0" hidden="0"/>
    </xf>
    <xf numFmtId="0" fontId="31" fillId="2" borderId="18" applyAlignment="1" applyProtection="1" pivotButton="0" quotePrefix="0" xfId="0">
      <alignment horizontal="center"/>
      <protection locked="0" hidden="0"/>
    </xf>
    <xf numFmtId="0" fontId="31" fillId="2" borderId="9" applyAlignment="1" applyProtection="1" pivotButton="0" quotePrefix="0" xfId="0">
      <alignment horizontal="center"/>
      <protection locked="0" hidden="0"/>
    </xf>
    <xf numFmtId="0" fontId="30" fillId="0" borderId="22" applyAlignment="1" pivotButton="0" quotePrefix="0" xfId="0">
      <alignment horizontal="center" vertical="center"/>
    </xf>
    <xf numFmtId="0" fontId="30" fillId="0" borderId="19" applyAlignment="1" pivotButton="0" quotePrefix="0" xfId="0">
      <alignment horizontal="center" vertical="center"/>
    </xf>
    <xf numFmtId="0" fontId="30" fillId="0" borderId="32" applyAlignment="1" pivotButton="0" quotePrefix="0" xfId="0">
      <alignment horizontal="center" vertical="center"/>
    </xf>
    <xf numFmtId="0" fontId="23" fillId="2" borderId="13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15" fillId="11" borderId="3" applyAlignment="1" applyProtection="1" pivotButton="0" quotePrefix="0" xfId="0">
      <alignment horizontal="center"/>
      <protection locked="0" hidden="0"/>
    </xf>
    <xf numFmtId="0" fontId="15" fillId="11" borderId="12" applyAlignment="1" applyProtection="1" pivotButton="0" quotePrefix="0" xfId="0">
      <alignment horizontal="center"/>
      <protection locked="0" hidden="0"/>
    </xf>
    <xf numFmtId="0" fontId="17" fillId="10" borderId="12" applyAlignment="1" pivotButton="0" quotePrefix="0" xfId="0">
      <alignment horizontal="center" vertical="center"/>
    </xf>
    <xf numFmtId="0" fontId="17" fillId="10" borderId="20" applyAlignment="1" pivotButton="0" quotePrefix="0" xfId="0">
      <alignment horizontal="center" vertical="center"/>
    </xf>
    <xf numFmtId="0" fontId="17" fillId="10" borderId="19" applyAlignment="1" pivotButton="0" quotePrefix="0" xfId="0">
      <alignment horizontal="center" vertical="center"/>
    </xf>
    <xf numFmtId="0" fontId="28" fillId="10" borderId="8" applyAlignment="1" applyProtection="1" pivotButton="0" quotePrefix="0" xfId="0">
      <alignment horizontal="center" vertical="center" wrapText="1"/>
      <protection locked="0" hidden="0"/>
    </xf>
    <xf numFmtId="0" fontId="28" fillId="10" borderId="18" applyAlignment="1" applyProtection="1" pivotButton="0" quotePrefix="0" xfId="0">
      <alignment horizontal="center" vertical="center" wrapText="1"/>
      <protection locked="0" hidden="0"/>
    </xf>
    <xf numFmtId="0" fontId="28" fillId="10" borderId="9" applyAlignment="1" applyProtection="1" pivotButton="0" quotePrefix="0" xfId="0">
      <alignment horizontal="center" vertical="center" wrapText="1"/>
      <protection locked="0" hidden="0"/>
    </xf>
    <xf numFmtId="0" fontId="3" fillId="3" borderId="0" applyAlignment="1" pivotButton="0" quotePrefix="0" xfId="0">
      <alignment horizontal="center" wrapText="1"/>
    </xf>
    <xf numFmtId="0" fontId="8" fillId="2" borderId="3" applyAlignment="1" pivotButton="0" quotePrefix="0" xfId="0">
      <alignment horizontal="center"/>
    </xf>
    <xf numFmtId="0" fontId="8" fillId="2" borderId="12" applyAlignment="1" pivotButton="0" quotePrefix="0" xfId="0">
      <alignment horizontal="center"/>
    </xf>
    <xf numFmtId="0" fontId="2" fillId="11" borderId="14" applyAlignment="1" pivotButton="0" quotePrefix="0" xfId="0">
      <alignment horizontal="center" vertical="center"/>
    </xf>
    <xf numFmtId="0" fontId="2" fillId="11" borderId="17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2" fontId="9" fillId="11" borderId="4" applyAlignment="1" pivotButton="0" quotePrefix="0" xfId="1">
      <alignment horizontal="center"/>
    </xf>
    <xf numFmtId="2" fontId="9" fillId="11" borderId="5" applyAlignment="1" pivotButton="0" quotePrefix="0" xfId="1">
      <alignment horizontal="center"/>
    </xf>
    <xf numFmtId="2" fontId="9" fillId="11" borderId="15" applyAlignment="1" pivotButton="0" quotePrefix="0" xfId="1">
      <alignment horizontal="center"/>
    </xf>
    <xf numFmtId="2" fontId="9" fillId="11" borderId="16" applyAlignment="1" pivotButton="0" quotePrefix="0" xfId="1">
      <alignment horizontal="center"/>
    </xf>
    <xf numFmtId="0" fontId="5" fillId="10" borderId="3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2" fillId="11" borderId="5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3" fontId="5" fillId="0" borderId="4" applyAlignment="1" pivotButton="0" quotePrefix="0" xfId="0">
      <alignment horizontal="center"/>
    </xf>
    <xf numFmtId="3" fontId="5" fillId="0" borderId="14" applyAlignment="1" pivotButton="0" quotePrefix="0" xfId="0">
      <alignment horizontal="center"/>
    </xf>
    <xf numFmtId="3" fontId="5" fillId="0" borderId="5" applyAlignment="1" pivotButton="0" quotePrefix="0" xfId="0">
      <alignment horizontal="center"/>
    </xf>
    <xf numFmtId="3" fontId="5" fillId="0" borderId="6" applyAlignment="1" pivotButton="0" quotePrefix="0" xfId="0">
      <alignment horizontal="center"/>
    </xf>
    <xf numFmtId="3" fontId="5" fillId="0" borderId="17" applyAlignment="1" pivotButton="0" quotePrefix="0" xfId="0">
      <alignment horizontal="center"/>
    </xf>
    <xf numFmtId="3" fontId="5" fillId="0" borderId="7" applyAlignment="1" pivotButton="0" quotePrefix="0" xfId="0">
      <alignment horizontal="center"/>
    </xf>
    <xf numFmtId="0" fontId="12" fillId="2" borderId="8" applyAlignment="1" applyProtection="1" pivotButton="0" quotePrefix="0" xfId="0">
      <alignment horizontal="center"/>
      <protection locked="0" hidden="0"/>
    </xf>
    <xf numFmtId="0" fontId="12" fillId="2" borderId="18" applyAlignment="1" applyProtection="1" pivotButton="0" quotePrefix="0" xfId="0">
      <alignment horizontal="center"/>
      <protection locked="0" hidden="0"/>
    </xf>
    <xf numFmtId="0" fontId="12" fillId="2" borderId="9" applyAlignment="1" applyProtection="1" pivotButton="0" quotePrefix="0" xfId="0">
      <alignment horizontal="center"/>
      <protection locked="0" hidden="0"/>
    </xf>
    <xf numFmtId="0" fontId="27" fillId="5" borderId="8" applyAlignment="1" applyProtection="1" pivotButton="0" quotePrefix="0" xfId="0">
      <alignment horizontal="center"/>
      <protection locked="0" hidden="0"/>
    </xf>
    <xf numFmtId="0" fontId="27" fillId="5" borderId="18" applyAlignment="1" applyProtection="1" pivotButton="0" quotePrefix="0" xfId="0">
      <alignment horizontal="center"/>
      <protection locked="0" hidden="0"/>
    </xf>
    <xf numFmtId="2" fontId="26" fillId="6" borderId="4" applyAlignment="1" pivotButton="0" quotePrefix="0" xfId="0">
      <alignment horizontal="center" vertical="center"/>
    </xf>
    <xf numFmtId="2" fontId="26" fillId="6" borderId="14" applyAlignment="1" pivotButton="0" quotePrefix="0" xfId="0">
      <alignment horizontal="center" vertical="center"/>
    </xf>
    <xf numFmtId="2" fontId="26" fillId="6" borderId="6" applyAlignment="1" pivotButton="0" quotePrefix="0" xfId="0">
      <alignment horizontal="center" vertical="center"/>
    </xf>
    <xf numFmtId="2" fontId="26" fillId="6" borderId="17" applyAlignment="1" pivotButton="0" quotePrefix="0" xfId="0">
      <alignment horizontal="center" vertical="center"/>
    </xf>
    <xf numFmtId="0" fontId="5" fillId="10" borderId="12" applyAlignment="1" pivotButton="0" quotePrefix="0" xfId="0">
      <alignment horizontal="center"/>
    </xf>
    <xf numFmtId="0" fontId="28" fillId="10" borderId="1" applyAlignment="1" applyProtection="1" pivotButton="0" quotePrefix="0" xfId="0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12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15" fillId="11" borderId="1" applyAlignment="1" applyProtection="1" pivotButton="0" quotePrefix="0" xfId="0">
      <alignment horizontal="center"/>
      <protection locked="0" hidden="0"/>
    </xf>
    <xf numFmtId="2" fontId="9" fillId="11" borderId="3" applyAlignment="1" pivotButton="0" quotePrefix="0" xfId="1">
      <alignment horizontal="center"/>
    </xf>
    <xf numFmtId="0" fontId="0" fillId="0" borderId="5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2" applyProtection="1" pivotButton="0" quotePrefix="0" xfId="0">
      <protection locked="0" hidden="0"/>
    </xf>
    <xf numFmtId="0" fontId="0" fillId="0" borderId="15" pivotButton="0" quotePrefix="0" xfId="0"/>
    <xf numFmtId="0" fontId="0" fillId="0" borderId="16" pivotButton="0" quotePrefix="0" xfId="0"/>
    <xf numFmtId="0" fontId="12" fillId="2" borderId="1" applyAlignment="1" applyProtection="1" pivotButton="0" quotePrefix="0" xfId="0">
      <alignment horizontal="center"/>
      <protection locked="0" hidden="0"/>
    </xf>
    <xf numFmtId="3" fontId="5" fillId="0" borderId="1" applyAlignment="1" pivotButton="0" quotePrefix="0" xfId="0">
      <alignment horizontal="center"/>
    </xf>
    <xf numFmtId="0" fontId="0" fillId="0" borderId="14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7" pivotButton="0" quotePrefix="0" xfId="0"/>
    <xf numFmtId="2" fontId="26" fillId="6" borderId="8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/>
    </xf>
    <xf numFmtId="0" fontId="0" fillId="0" borderId="12" pivotButton="0" quotePrefix="0" xfId="0"/>
    <xf numFmtId="0" fontId="2" fillId="11" borderId="9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1" fillId="2" borderId="1" applyAlignment="1" applyProtection="1" pivotButton="0" quotePrefix="0" xfId="0">
      <alignment horizontal="center"/>
      <protection locked="0" hidden="0"/>
    </xf>
    <xf numFmtId="0" fontId="2" fillId="11" borderId="18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2" fontId="18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3" applyProtection="1" pivotButton="0" quotePrefix="0" xfId="0">
      <protection locked="0" hidden="0"/>
    </xf>
  </cellXfs>
  <cellStyles count="3">
    <cellStyle name="Normal" xfId="0" builtinId="0"/>
    <cellStyle name="Porcentaje" xfId="1" builtinId="5"/>
    <cellStyle name="Moneda" xfId="2" builtinId="4"/>
  </cellStyles>
  <dxfs count="39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tc={43580EBD-2588-40E5-B15A-0F5195958948}</author>
  </authors>
  <commentList>
    <comment ref="C41" authorId="0" shapeId="0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MULTIPLOS 15 UNIDADES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37353</colOff>
      <row>13</row>
      <rowOff>43279</rowOff>
    </from>
    <to>
      <col>25</col>
      <colOff>171826</colOff>
      <row>16</row>
      <rowOff>180379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206941" y="3009103"/>
          <a:ext cx="1075766" cy="698888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>
    <tabColor theme="4"/>
    <outlinePr summaryBelow="1" summaryRight="1"/>
    <pageSetUpPr/>
  </sheetPr>
  <dimension ref="A1:AI138"/>
  <sheetViews>
    <sheetView showGridLines="0" tabSelected="1" zoomScale="85" zoomScaleNormal="85" workbookViewId="0">
      <selection activeCell="Q26" sqref="Q26"/>
    </sheetView>
  </sheetViews>
  <sheetFormatPr baseColWidth="10" defaultColWidth="10.83203125" defaultRowHeight="15"/>
  <cols>
    <col width="8.83203125" customWidth="1" style="8" min="1" max="1"/>
    <col width="42.1640625" bestFit="1" customWidth="1" style="8" min="2" max="2"/>
    <col width="8.1640625" customWidth="1" style="11" min="3" max="3"/>
    <col width="11.1640625" bestFit="1" customWidth="1" style="11" min="4" max="4"/>
    <col hidden="1" width="19.6640625" customWidth="1" style="11" min="5" max="5"/>
    <col hidden="1" width="15.33203125" customWidth="1" style="11" min="6" max="6"/>
    <col hidden="1" width="8.6640625" customWidth="1" style="11" min="7" max="7"/>
    <col hidden="1" width="16.33203125" customWidth="1" style="11" min="8" max="8"/>
    <col hidden="1" width="14" customWidth="1" style="11" min="9" max="9"/>
    <col width="6.83203125" customWidth="1" style="11" min="10" max="10"/>
    <col width="26.33203125" customWidth="1" style="8" min="11" max="11"/>
    <col hidden="1" width="9.6640625" customWidth="1" style="8" min="12" max="12"/>
    <col hidden="1" width="7.5" customWidth="1" style="8" min="13" max="13"/>
    <col width="3.5" customWidth="1" style="8" min="14" max="14"/>
    <col width="10.5" customWidth="1" style="8" min="15" max="15"/>
    <col width="5.83203125" customWidth="1" style="8" min="16" max="16"/>
    <col width="8.1640625" bestFit="1" customWidth="1" style="8" min="17" max="17"/>
    <col hidden="1" width="3.5" customWidth="1" style="14" min="18" max="18"/>
    <col width="32.6640625" bestFit="1" customWidth="1" style="8" min="19" max="19"/>
    <col hidden="1" width="6.1640625" customWidth="1" style="8" min="20" max="20"/>
    <col hidden="1" width="7.33203125" customWidth="1" style="8" min="21" max="21"/>
    <col width="8" bestFit="1" customWidth="1" style="8" min="22" max="22"/>
    <col width="6.1640625" customWidth="1" style="8" min="23" max="23"/>
    <col width="7.1640625" customWidth="1" style="8" min="24" max="24"/>
    <col width="6.1640625" customWidth="1" style="8" min="25" max="25"/>
    <col width="10.83203125" customWidth="1" style="8" min="26" max="16384"/>
  </cols>
  <sheetData>
    <row r="1" ht="44.5" customHeight="1" thickBot="1">
      <c r="B1" s="162" t="inlineStr">
        <is>
          <t>PEDIDOS POR BASE</t>
        </is>
      </c>
      <c r="C1" s="71" t="n"/>
      <c r="D1" s="71" t="n"/>
      <c r="H1" s="76" t="n"/>
      <c r="K1" s="77" t="n"/>
      <c r="O1" s="291" t="inlineStr">
        <is>
          <t>CUBICAJE DE TU PEDIDO POR BASE</t>
        </is>
      </c>
      <c r="P1" s="292" t="n"/>
      <c r="Q1" s="292" t="n"/>
      <c r="R1" s="293" t="n"/>
    </row>
    <row r="2" ht="36.75" customHeight="1" thickBot="1">
      <c r="A2" s="184" t="inlineStr">
        <is>
          <t xml:space="preserve">CODIGO </t>
        </is>
      </c>
      <c r="B2" s="184" t="inlineStr">
        <is>
          <t xml:space="preserve">DENOMINACION </t>
        </is>
      </c>
      <c r="C2" s="185" t="inlineStr">
        <is>
          <t>CANTIDAD</t>
        </is>
      </c>
      <c r="D2" s="186" t="inlineStr">
        <is>
          <t>suma</t>
        </is>
      </c>
      <c r="E2" s="187" t="inlineStr">
        <is>
          <t>CUBICAJE A LA CARTA</t>
        </is>
      </c>
      <c r="F2" s="187" t="inlineStr">
        <is>
          <t xml:space="preserve">TOTAL PRECIO </t>
        </is>
      </c>
      <c r="G2" s="187" t="inlineStr">
        <is>
          <t>IVA</t>
        </is>
      </c>
      <c r="H2" s="187" t="inlineStr">
        <is>
          <t xml:space="preserve">PESO UNITARIO </t>
        </is>
      </c>
      <c r="I2" s="187" t="inlineStr">
        <is>
          <t xml:space="preserve">TOTAL PESO </t>
        </is>
      </c>
      <c r="J2" s="188" t="inlineStr">
        <is>
          <t>BASES</t>
        </is>
      </c>
      <c r="K2" s="189" t="inlineStr">
        <is>
          <t>FAMILIA  DE PRODUCTOS</t>
        </is>
      </c>
      <c r="L2" s="190" t="inlineStr">
        <is>
          <t>CUBICAJE</t>
        </is>
      </c>
      <c r="M2" s="190" t="inlineStr">
        <is>
          <t xml:space="preserve">TOTAL </t>
        </is>
      </c>
      <c r="N2" s="191" t="n"/>
      <c r="O2" s="294" t="inlineStr">
        <is>
          <t xml:space="preserve">CUBICAJE TOTAL </t>
        </is>
      </c>
      <c r="P2" s="295" t="n"/>
      <c r="Q2" s="192" t="inlineStr">
        <is>
          <t>PALLET</t>
        </is>
      </c>
      <c r="R2" s="193" t="n"/>
      <c r="S2" s="194" t="inlineStr">
        <is>
          <t xml:space="preserve">LINEA DE PRODUCTOS </t>
        </is>
      </c>
      <c r="T2" s="194" t="n"/>
      <c r="U2" s="194" t="n"/>
      <c r="V2" s="194" t="inlineStr">
        <is>
          <t>CANT.</t>
        </is>
      </c>
      <c r="W2" s="194" t="inlineStr">
        <is>
          <t>BASES</t>
        </is>
      </c>
      <c r="X2" s="185" t="inlineStr">
        <is>
          <t>CUBICAJE</t>
        </is>
      </c>
      <c r="Y2" s="207" t="inlineStr">
        <is>
          <t>CANT.X BASE</t>
        </is>
      </c>
      <c r="Z2" s="195" t="inlineStr">
        <is>
          <t>cubicaje x base</t>
        </is>
      </c>
    </row>
    <row r="3" ht="15" customHeight="1" thickBot="1">
      <c r="A3" s="118" t="n">
        <v>4000062</v>
      </c>
      <c r="B3" s="118" t="inlineStr">
        <is>
          <t>ANANA A LA CREMA 7,800 KG GRIDO</t>
        </is>
      </c>
      <c r="C3" s="10" t="n">
        <v>1</v>
      </c>
      <c r="D3" s="226">
        <f>SUM(C3:C40)</f>
        <v/>
      </c>
      <c r="E3" s="96">
        <f>VLOOKUP(A3,MATERIALES!A497:D591,4,0)</f>
        <v/>
      </c>
      <c r="F3" s="97">
        <f>E3*C3</f>
        <v/>
      </c>
      <c r="G3" s="101">
        <f>F3*1.21</f>
        <v/>
      </c>
      <c r="H3" s="96">
        <f>VLOOKUP(A3,MATERIALES!$A:$E,5,0)</f>
        <v/>
      </c>
      <c r="I3" s="96">
        <f>C3*H3</f>
        <v/>
      </c>
      <c r="J3" s="253" t="n">
        <v>25</v>
      </c>
      <c r="K3" s="158" t="inlineStr">
        <is>
          <t xml:space="preserve">GRANEL </t>
        </is>
      </c>
      <c r="L3" s="116">
        <f>VLOOKUP(A3,MATERIALES!$A:$D,4,0)</f>
        <v/>
      </c>
      <c r="M3" s="1">
        <f>L3*C3</f>
        <v/>
      </c>
      <c r="N3" s="296" t="inlineStr">
        <is>
          <t>%</t>
        </is>
      </c>
      <c r="O3" s="297">
        <f>SUM(X3:X13)</f>
        <v/>
      </c>
      <c r="P3" s="298" t="n"/>
      <c r="Q3" s="269">
        <f t="array" ref="Q3">_xlfn.IFS(O3&lt;=100,1,O3&lt;=200,2,O3&lt;=300,3,O3&lt;=400,4,O3&lt;=500,5,O3&lt;=600,6,O3&lt;=700,7,O3&lt;=800,8,O3&lt;=900,9,O3&lt;=1000,10,O3&lt;=1100,11,O3&lt;=1200,12,O3&lt;=1300,13,O3&lt;=1400,14,O3&lt;=1500,15,O3&lt;=1600,16,O3&lt;=1700,17,O3&lt;=1800,18,O3&lt;=1900,19,O3&lt;=2000,20,O3&lt;=2100,21,O3&lt;=2200,22,O3&lt;=2300,23,O3&lt;=2400,24,O3&lt;=2500,25,O3&lt;=2600,26,O3&lt;=2700,27,O3&lt;=2800,28)</f>
        <v/>
      </c>
      <c r="R3" s="108">
        <f>Q3</f>
        <v/>
      </c>
      <c r="S3" s="203" t="inlineStr">
        <is>
          <t xml:space="preserve">GRANEL </t>
        </is>
      </c>
      <c r="T3" s="13" t="n"/>
      <c r="U3" s="13" t="n"/>
      <c r="V3" s="115">
        <f>SUMIF($K:$K,S3,$C:$C)</f>
        <v/>
      </c>
      <c r="W3" s="109">
        <f>V3/25</f>
        <v/>
      </c>
      <c r="X3" s="110">
        <f>SUMIF($K:$K,S3,$M:$M)</f>
        <v/>
      </c>
      <c r="Y3" s="196" t="n">
        <v>25</v>
      </c>
      <c r="Z3" s="197" t="n">
        <v>0.2</v>
      </c>
    </row>
    <row r="4" ht="15" customHeight="1" thickBot="1">
      <c r="A4" s="118" t="n">
        <v>4000048</v>
      </c>
      <c r="B4" s="118" t="inlineStr">
        <is>
          <t>BANANA C/DULC LECHE 7,800 KG GRIDO</t>
        </is>
      </c>
      <c r="C4" s="10" t="n">
        <v>13</v>
      </c>
      <c r="D4" s="299" t="n"/>
      <c r="E4" s="96">
        <f>VLOOKUP(A4,MATERIALES!A498:D592,4,0)</f>
        <v/>
      </c>
      <c r="F4" s="97">
        <f>E4*C4</f>
        <v/>
      </c>
      <c r="G4" s="101">
        <f>F4*1.21</f>
        <v/>
      </c>
      <c r="H4" s="96">
        <f>VLOOKUP(A4,MATERIALES!$A:$E,5,0)</f>
        <v/>
      </c>
      <c r="I4" s="96">
        <f>C4*H4</f>
        <v/>
      </c>
      <c r="J4" s="300" t="n"/>
      <c r="K4" s="158" t="inlineStr">
        <is>
          <t xml:space="preserve">GRANEL </t>
        </is>
      </c>
      <c r="L4" s="116">
        <f>VLOOKUP(A4,MATERIALES!$A:$D,4,0)</f>
        <v/>
      </c>
      <c r="M4" s="1">
        <f>L4*C4</f>
        <v/>
      </c>
      <c r="N4" s="301" t="n"/>
      <c r="O4" s="302" t="n"/>
      <c r="P4" s="303" t="n"/>
      <c r="Q4" s="299" t="n"/>
      <c r="R4" s="12" t="n"/>
      <c r="S4" s="203" t="inlineStr">
        <is>
          <t xml:space="preserve">POTES 3L </t>
        </is>
      </c>
      <c r="T4" s="13" t="n"/>
      <c r="U4" s="13" t="n"/>
      <c r="V4" s="115">
        <f>SUMIF($K:$K,S4,$C:$C)</f>
        <v/>
      </c>
      <c r="W4" s="109">
        <f>V4/15</f>
        <v/>
      </c>
      <c r="X4" s="110">
        <f>SUMIF($K:$K,S4,$M:$M)</f>
        <v/>
      </c>
      <c r="Y4" s="198" t="n">
        <v>15</v>
      </c>
      <c r="Z4" s="199" t="n">
        <v>0.1635</v>
      </c>
    </row>
    <row r="5" ht="16" customHeight="1" thickBot="1">
      <c r="A5" s="118" t="n">
        <v>4000608</v>
      </c>
      <c r="B5" s="118" t="inlineStr">
        <is>
          <t>CANDY 7,800 KG GRIDO</t>
        </is>
      </c>
      <c r="C5" s="10" t="n">
        <v>0</v>
      </c>
      <c r="D5" s="299" t="n"/>
      <c r="E5" s="96">
        <f>VLOOKUP(A5,MATERIALES!A499:D593,4,0)</f>
        <v/>
      </c>
      <c r="F5" s="97">
        <f>E5*C5</f>
        <v/>
      </c>
      <c r="G5" s="101">
        <f>F5*1.21</f>
        <v/>
      </c>
      <c r="H5" s="96">
        <f>VLOOKUP(A5,MATERIALES!$A:$E,5,0)</f>
        <v/>
      </c>
      <c r="I5" s="96">
        <f>C5*H5</f>
        <v/>
      </c>
      <c r="J5" s="300" t="n"/>
      <c r="K5" s="158" t="inlineStr">
        <is>
          <t xml:space="preserve">GRANEL </t>
        </is>
      </c>
      <c r="L5" s="116">
        <f>VLOOKUP(A5,MATERIALES!$A:$D,4,0)</f>
        <v/>
      </c>
      <c r="M5" s="1">
        <f>L5*C5</f>
        <v/>
      </c>
      <c r="N5" s="11" t="n"/>
      <c r="O5" s="304" t="inlineStr">
        <is>
          <t xml:space="preserve">KILOS </t>
        </is>
      </c>
      <c r="P5" s="292" t="n"/>
      <c r="Q5" s="293" t="n"/>
      <c r="S5" s="203" t="inlineStr">
        <is>
          <t xml:space="preserve">TORTAS </t>
        </is>
      </c>
      <c r="T5" s="29" t="n"/>
      <c r="U5" s="29" t="n"/>
      <c r="V5" s="110">
        <f>SUMIF($K:$K,S5,$C:$C)</f>
        <v/>
      </c>
      <c r="W5" s="109">
        <f>V5/10</f>
        <v/>
      </c>
      <c r="X5" s="110">
        <f>SUMIF($K:$K,S5,$M:$M)</f>
        <v/>
      </c>
      <c r="Y5" s="198" t="n">
        <v>10</v>
      </c>
      <c r="Z5" s="200" t="n">
        <v>0.12</v>
      </c>
    </row>
    <row r="6" ht="15" customHeight="1" thickBot="1">
      <c r="A6" s="118" t="n">
        <v>4000193</v>
      </c>
      <c r="B6" s="118" t="inlineStr">
        <is>
          <t>CAPPUCCINO GRANIZADO 7,800 KG GRIDO</t>
        </is>
      </c>
      <c r="C6" s="10" t="n">
        <v>2</v>
      </c>
      <c r="D6" s="299" t="n"/>
      <c r="E6" s="96">
        <f>VLOOKUP(A6,MATERIALES!A500:D594,4,0)</f>
        <v/>
      </c>
      <c r="F6" s="97">
        <f>E6*C6</f>
        <v/>
      </c>
      <c r="G6" s="101">
        <f>F6*1.21</f>
        <v/>
      </c>
      <c r="H6" s="96">
        <f>VLOOKUP(A6,MATERIALES!$A:$E,5,0)</f>
        <v/>
      </c>
      <c r="I6" s="96">
        <f>C6*H6</f>
        <v/>
      </c>
      <c r="J6" s="300" t="n"/>
      <c r="K6" s="158" t="inlineStr">
        <is>
          <t xml:space="preserve">GRANEL </t>
        </is>
      </c>
      <c r="L6" s="116">
        <f>VLOOKUP(A6,MATERIALES!$A:$D,4,0)</f>
        <v/>
      </c>
      <c r="M6" s="1">
        <f>L6*C6</f>
        <v/>
      </c>
      <c r="N6" s="11" t="n"/>
      <c r="O6" s="305">
        <f>SUM(I3:I113)</f>
        <v/>
      </c>
      <c r="P6" s="306" t="n"/>
      <c r="Q6" s="298" t="n"/>
      <c r="S6" s="203" t="inlineStr">
        <is>
          <t>TENTACION</t>
        </is>
      </c>
      <c r="T6" s="29" t="n"/>
      <c r="U6" s="29" t="n"/>
      <c r="V6" s="110">
        <f>SUMIF($K:$K,S6,$C:$C)</f>
        <v/>
      </c>
      <c r="W6" s="110">
        <f>V6/15</f>
        <v/>
      </c>
      <c r="X6" s="110">
        <f>SUMIF($K:$K,S6,$M:$M)</f>
        <v/>
      </c>
      <c r="Y6" s="198" t="n">
        <v>15</v>
      </c>
      <c r="Z6" s="199" t="n">
        <v>0.0765</v>
      </c>
    </row>
    <row r="7" ht="15" customHeight="1" thickBot="1">
      <c r="A7" s="118" t="n">
        <v>4000070</v>
      </c>
      <c r="B7" s="118" t="inlineStr">
        <is>
          <t>CEREZA 7,800 KG - GRIDO</t>
        </is>
      </c>
      <c r="C7" s="10" t="n">
        <v>6</v>
      </c>
      <c r="D7" s="299" t="n"/>
      <c r="E7" s="96">
        <f>VLOOKUP(A7,MATERIALES!A501:D595,4,0)</f>
        <v/>
      </c>
      <c r="F7" s="97">
        <f>E7*C7</f>
        <v/>
      </c>
      <c r="G7" s="101">
        <f>F7*1.21</f>
        <v/>
      </c>
      <c r="H7" s="96">
        <f>VLOOKUP(A7,MATERIALES!$A:$E,5,0)</f>
        <v/>
      </c>
      <c r="I7" s="96">
        <f>C7*H7</f>
        <v/>
      </c>
      <c r="J7" s="300" t="n"/>
      <c r="K7" s="158" t="inlineStr">
        <is>
          <t xml:space="preserve">GRANEL </t>
        </is>
      </c>
      <c r="L7" s="116">
        <f>VLOOKUP(A7,MATERIALES!$A:$D,4,0)</f>
        <v/>
      </c>
      <c r="M7" s="1">
        <f>L7*C7</f>
        <v/>
      </c>
      <c r="N7" s="11" t="n"/>
      <c r="O7" s="307" t="n"/>
      <c r="P7" s="308" t="n"/>
      <c r="Q7" s="309" t="n"/>
      <c r="S7" s="203" t="inlineStr">
        <is>
          <t xml:space="preserve">PALITOS </t>
        </is>
      </c>
      <c r="T7" s="29" t="n"/>
      <c r="U7" s="29" t="n"/>
      <c r="V7" s="110">
        <f>SUMIF($K:$K,S7,$C:$C)</f>
        <v/>
      </c>
      <c r="W7" s="110">
        <f>V7/15</f>
        <v/>
      </c>
      <c r="X7" s="110">
        <f>SUMIF($K:$K,S7,$M:$M)</f>
        <v/>
      </c>
      <c r="Y7" s="198" t="n">
        <v>15</v>
      </c>
      <c r="Z7" s="199" t="n">
        <v>0.123</v>
      </c>
    </row>
    <row r="8" ht="15" customHeight="1" thickBot="1">
      <c r="A8" s="118" t="n">
        <v>4000827</v>
      </c>
      <c r="B8" s="118" t="inlineStr">
        <is>
          <t>CHOCO BLANCO OREO 7,800 KG GRIDO</t>
        </is>
      </c>
      <c r="C8" s="10" t="n">
        <v>6</v>
      </c>
      <c r="D8" s="299" t="n"/>
      <c r="E8" s="96">
        <f>VLOOKUP(A8,MATERIALES!A502:D596,4,0)</f>
        <v/>
      </c>
      <c r="F8" s="97">
        <f>E8*C8</f>
        <v/>
      </c>
      <c r="G8" s="101">
        <f>F8*1.21</f>
        <v/>
      </c>
      <c r="H8" s="96">
        <f>VLOOKUP(A8,MATERIALES!$A:$E,5,0)</f>
        <v/>
      </c>
      <c r="I8" s="96">
        <f>C8*H8</f>
        <v/>
      </c>
      <c r="J8" s="300" t="n"/>
      <c r="K8" s="158" t="inlineStr">
        <is>
          <t xml:space="preserve">GRANEL </t>
        </is>
      </c>
      <c r="L8" s="116">
        <f>VLOOKUP(A8,MATERIALES!$A:$D,4,0)</f>
        <v/>
      </c>
      <c r="M8" s="1">
        <f>L8*C8</f>
        <v/>
      </c>
      <c r="N8" s="11" t="n"/>
      <c r="O8" s="284" t="inlineStr">
        <is>
          <t>CUBICAJE A LA CARTA</t>
        </is>
      </c>
      <c r="P8" s="292" t="n"/>
      <c r="Q8" s="82" t="inlineStr">
        <is>
          <t>PALLET</t>
        </is>
      </c>
      <c r="S8" s="218" t="inlineStr">
        <is>
          <t>PALITOS NUEVOS X 10 UNID</t>
        </is>
      </c>
      <c r="T8" s="29" t="n"/>
      <c r="U8" s="29" t="n"/>
      <c r="V8" s="110">
        <f>SUMIF($K:$K,S8,$C:$C)</f>
        <v/>
      </c>
      <c r="W8" s="110">
        <f>V8/12</f>
        <v/>
      </c>
      <c r="X8" s="110">
        <f>SUMIF($K:$K,S8,$M:$M)</f>
        <v/>
      </c>
      <c r="Y8" s="198" t="n">
        <v>12</v>
      </c>
      <c r="Z8" s="199" t="n">
        <v>0.1666</v>
      </c>
      <c r="AA8" s="35" t="n"/>
      <c r="AB8" s="35" t="n"/>
      <c r="AC8" s="35" t="n"/>
      <c r="AD8" s="35" t="n"/>
      <c r="AE8" s="35" t="n"/>
      <c r="AF8" s="35" t="n"/>
      <c r="AG8" s="35" t="n"/>
      <c r="AH8" s="35" t="n"/>
    </row>
    <row r="9" ht="15" customHeight="1" thickBot="1">
      <c r="A9" s="118" t="n">
        <v>4000043</v>
      </c>
      <c r="B9" s="118" t="inlineStr">
        <is>
          <t>CHOCOLATE 7,800 KG GRIDO</t>
        </is>
      </c>
      <c r="C9" s="10" t="n">
        <v>22</v>
      </c>
      <c r="D9" s="299" t="n"/>
      <c r="E9" s="96">
        <f>VLOOKUP(A9,MATERIALES!A503:D597,4,0)</f>
        <v/>
      </c>
      <c r="F9" s="97">
        <f>E9*C9</f>
        <v/>
      </c>
      <c r="G9" s="101">
        <f>F9*1.21</f>
        <v/>
      </c>
      <c r="H9" s="96">
        <f>VLOOKUP(A9,MATERIALES!$A:$E,5,0)</f>
        <v/>
      </c>
      <c r="I9" s="96">
        <f>C9*H9</f>
        <v/>
      </c>
      <c r="J9" s="300" t="n"/>
      <c r="K9" s="158" t="inlineStr">
        <is>
          <t xml:space="preserve">GRANEL </t>
        </is>
      </c>
      <c r="L9" s="116">
        <f>VLOOKUP(A9,MATERIALES!$A:$D,4,0)</f>
        <v/>
      </c>
      <c r="M9" s="1">
        <f>L9*C9</f>
        <v/>
      </c>
      <c r="N9" s="296" t="inlineStr">
        <is>
          <t>%</t>
        </is>
      </c>
      <c r="O9" s="310">
        <f>SUM(F3:F130)</f>
        <v/>
      </c>
      <c r="P9" s="306" t="n"/>
      <c r="Q9" s="311">
        <f t="array" ref="Q9">_xlfn.IFS(O9&lt;=100,1,O9&lt;=200,2,O9&lt;=300,3,O9&lt;=400,4,O9&lt;=500,5,O9&lt;=600,6,O9&lt;=700,7,O9&lt;=800,8,O9&lt;=900,9,O9&lt;=1000,10,O9&lt;=1100,11,O9&lt;=1200,12,O9&lt;=1300,13,O9&lt;=1400,14,O9&lt;=1500,15,O9&lt;=1600,16,O9&lt;=1700,17,O9&lt;=1800,18,O9&lt;=1900,19,O9&lt;=2000,20,O9&lt;=2100,21,O9&lt;=2200,22,O9&lt;=2300,23,O9&lt;=2400,24,O9&lt;=2500,25,O9&lt;=2600,26,O9&lt;=2700,27,O9&lt;=2800,28)</f>
        <v/>
      </c>
      <c r="S9" s="203" t="inlineStr">
        <is>
          <t>ESCOCES-SHOT-SECRETO</t>
        </is>
      </c>
      <c r="T9" s="29" t="n"/>
      <c r="U9" s="29" t="n"/>
      <c r="V9" s="110">
        <f>SUMIF($K:$K,S9,$C:$C)</f>
        <v/>
      </c>
      <c r="W9" s="110">
        <f>V9/10</f>
        <v/>
      </c>
      <c r="X9" s="110">
        <f>SUMIF($K:$K,S9,$M:$M)</f>
        <v/>
      </c>
      <c r="Y9" s="198" t="n">
        <v>10</v>
      </c>
      <c r="Z9" s="201" t="n">
        <v>0.077</v>
      </c>
      <c r="AA9" s="35" t="n"/>
      <c r="AB9" s="35" t="n"/>
      <c r="AC9" s="35" t="n"/>
      <c r="AD9" s="35" t="n"/>
      <c r="AE9" s="35" t="n"/>
      <c r="AF9" s="35" t="n"/>
      <c r="AG9" s="35" t="n"/>
      <c r="AH9" s="35" t="n"/>
    </row>
    <row r="10" ht="15" customHeight="1" thickBot="1">
      <c r="A10" s="118" t="n">
        <v>4000059</v>
      </c>
      <c r="B10" s="118" t="inlineStr">
        <is>
          <t>CHOCOLATE BLANCO 7,800 KG GRIDO</t>
        </is>
      </c>
      <c r="C10" s="10" t="n">
        <v>3</v>
      </c>
      <c r="D10" s="299" t="n"/>
      <c r="E10" s="96">
        <f>VLOOKUP(A10,MATERIALES!A504:D598,4,0)</f>
        <v/>
      </c>
      <c r="F10" s="97">
        <f>E10*C10</f>
        <v/>
      </c>
      <c r="G10" s="101">
        <f>F10*1.21</f>
        <v/>
      </c>
      <c r="H10" s="96">
        <f>VLOOKUP(A10,MATERIALES!$A:$E,5,0)</f>
        <v/>
      </c>
      <c r="I10" s="96">
        <f>C10*H10</f>
        <v/>
      </c>
      <c r="J10" s="300" t="n"/>
      <c r="K10" s="158" t="inlineStr">
        <is>
          <t xml:space="preserve">GRANEL </t>
        </is>
      </c>
      <c r="L10" s="116">
        <f>VLOOKUP(A10,MATERIALES!$A:$D,4,0)</f>
        <v/>
      </c>
      <c r="M10" s="1">
        <f>L10*C10</f>
        <v/>
      </c>
      <c r="N10" s="301" t="n"/>
      <c r="O10" s="307" t="n"/>
      <c r="P10" s="308" t="n"/>
      <c r="Q10" s="312" t="n"/>
      <c r="S10" s="203" t="inlineStr">
        <is>
          <t xml:space="preserve">PORCION </t>
        </is>
      </c>
      <c r="T10" s="29" t="n"/>
      <c r="U10" s="29" t="n"/>
      <c r="V10" s="110">
        <f>SUMIF($K:$K,S10,$C:$C)</f>
        <v/>
      </c>
      <c r="W10" s="110">
        <f>V10/10</f>
        <v/>
      </c>
      <c r="X10" s="110">
        <f>SUMIF($K:$K,S10,$M:$M)</f>
        <v/>
      </c>
      <c r="Y10" s="198" t="n">
        <v>10</v>
      </c>
      <c r="Z10" s="201" t="n">
        <v>0.077</v>
      </c>
      <c r="AA10" s="35" t="n"/>
      <c r="AB10" s="35" t="n"/>
      <c r="AC10" s="35" t="n"/>
      <c r="AD10" s="35" t="n"/>
      <c r="AE10" s="35" t="n"/>
      <c r="AF10" s="35" t="n"/>
      <c r="AG10" s="35" t="n"/>
      <c r="AH10" s="35" t="n"/>
    </row>
    <row r="11" ht="15" customHeight="1" thickBot="1">
      <c r="A11" s="118" t="n">
        <v>4000067</v>
      </c>
      <c r="B11" s="118" t="inlineStr">
        <is>
          <t>CHOCOLATE C/ALMEN 7,800 KG GRIDO</t>
        </is>
      </c>
      <c r="C11" s="10" t="n">
        <v>13</v>
      </c>
      <c r="D11" s="299" t="n"/>
      <c r="E11" s="96">
        <f>VLOOKUP(A11,MATERIALES!A505:D599,4,0)</f>
        <v/>
      </c>
      <c r="F11" s="97">
        <f>E11*C11</f>
        <v/>
      </c>
      <c r="G11" s="101">
        <f>F11*1.21</f>
        <v/>
      </c>
      <c r="H11" s="96">
        <f>VLOOKUP(A11,MATERIALES!$A:$E,5,0)</f>
        <v/>
      </c>
      <c r="I11" s="96">
        <f>C11*H11</f>
        <v/>
      </c>
      <c r="J11" s="300" t="n"/>
      <c r="K11" s="158" t="inlineStr">
        <is>
          <t xml:space="preserve">GRANEL </t>
        </is>
      </c>
      <c r="L11" s="116">
        <f>VLOOKUP(A11,MATERIALES!$A:$D,4,0)</f>
        <v/>
      </c>
      <c r="M11" s="1">
        <f>L11*C11</f>
        <v/>
      </c>
      <c r="N11" s="11" t="n"/>
      <c r="S11" s="203" t="inlineStr">
        <is>
          <t>BARRAS</t>
        </is>
      </c>
      <c r="T11" s="29" t="n"/>
      <c r="U11" s="29" t="n"/>
      <c r="V11" s="110">
        <f>SUMIF($K:$K,S11,$C:$C)</f>
        <v/>
      </c>
      <c r="W11" s="110">
        <f>V11/12</f>
        <v/>
      </c>
      <c r="X11" s="110">
        <f>SUMIF($K:$K,S11,$M:$M)</f>
        <v/>
      </c>
      <c r="Y11" s="198" t="n">
        <v>12</v>
      </c>
      <c r="Z11" s="201" t="n">
        <v>0.0696</v>
      </c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</row>
    <row r="12" ht="15" customHeight="1" thickBot="1">
      <c r="A12" s="118" t="n">
        <v>4000061</v>
      </c>
      <c r="B12" s="118" t="inlineStr">
        <is>
          <t>CHOCOLATE MANI CRUNCH 7,800 KG GRIDO</t>
        </is>
      </c>
      <c r="C12" s="10" t="n">
        <v>0</v>
      </c>
      <c r="D12" s="299" t="n"/>
      <c r="E12" s="96">
        <f>VLOOKUP(A12,MATERIALES!A506:D600,4,0)</f>
        <v/>
      </c>
      <c r="F12" s="97">
        <f>E12*C12</f>
        <v/>
      </c>
      <c r="G12" s="101">
        <f>F12*1.21</f>
        <v/>
      </c>
      <c r="H12" s="96">
        <f>VLOOKUP(A12,MATERIALES!$A:$E,5,0)</f>
        <v/>
      </c>
      <c r="I12" s="96">
        <f>C12*H12</f>
        <v/>
      </c>
      <c r="J12" s="300" t="n"/>
      <c r="K12" s="158" t="inlineStr">
        <is>
          <t xml:space="preserve">GRANEL </t>
        </is>
      </c>
      <c r="L12" s="116">
        <f>VLOOKUP(A12,MATERIALES!$A:$D,4,0)</f>
        <v/>
      </c>
      <c r="M12" s="1">
        <f>L12*C12</f>
        <v/>
      </c>
      <c r="O12" s="83" t="n"/>
      <c r="P12" s="83" t="n"/>
      <c r="Q12" s="83" t="n"/>
      <c r="S12" s="204" t="inlineStr">
        <is>
          <t>ALIM.CONGELADOS CAJAS GRANDES</t>
        </is>
      </c>
      <c r="T12" s="113">
        <f>SUMIF(#REF!,"C",C83:C113)</f>
        <v/>
      </c>
      <c r="U12" s="84" t="n">
        <v>16.668</v>
      </c>
      <c r="V12" s="115">
        <f>SUMIF($K:$K,S12,$C:$C)</f>
        <v/>
      </c>
      <c r="W12" s="110">
        <f>V12/5</f>
        <v/>
      </c>
      <c r="X12" s="110">
        <f>SUMIF($K:$K,S12,$M:$M)</f>
        <v/>
      </c>
      <c r="Y12" s="198" t="n">
        <v>5</v>
      </c>
      <c r="Z12" s="202" t="n">
        <v>0.06</v>
      </c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</row>
    <row r="13" ht="14.5" customHeight="1" thickBot="1">
      <c r="A13" s="118" t="n">
        <v>4000057</v>
      </c>
      <c r="B13" s="118" t="inlineStr">
        <is>
          <t>CHOCOLATE SUIZO 7,800 KG GRIDO</t>
        </is>
      </c>
      <c r="C13" s="10" t="n">
        <v>3</v>
      </c>
      <c r="D13" s="299" t="n"/>
      <c r="E13" s="96">
        <f>VLOOKUP(A13,MATERIALES!A507:D601,4,0)</f>
        <v/>
      </c>
      <c r="F13" s="97">
        <f>E13*C13</f>
        <v/>
      </c>
      <c r="G13" s="101">
        <f>F13*1.21</f>
        <v/>
      </c>
      <c r="H13" s="96">
        <f>VLOOKUP(A13,MATERIALES!$A:$E,5,0)</f>
        <v/>
      </c>
      <c r="I13" s="96">
        <f>C13*H13</f>
        <v/>
      </c>
      <c r="J13" s="300" t="n"/>
      <c r="K13" s="158" t="inlineStr">
        <is>
          <t xml:space="preserve">GRANEL </t>
        </is>
      </c>
      <c r="L13" s="116">
        <f>VLOOKUP(A13,MATERIALES!$A:$D,4,0)</f>
        <v/>
      </c>
      <c r="M13" s="1">
        <f>L13*C13</f>
        <v/>
      </c>
      <c r="N13" s="258" t="inlineStr">
        <is>
          <t xml:space="preserve">COMPARATIVO CON RESPECTO AL CUBICAJE DE PEDIDOS A LA CARTA </t>
        </is>
      </c>
      <c r="S13" s="205" t="inlineStr">
        <is>
          <t>ALIM.CONGELADOS CAJAS CHICAS</t>
        </is>
      </c>
      <c r="T13" s="30" t="n"/>
      <c r="U13" s="85" t="n"/>
      <c r="V13" s="115">
        <f>SUMIF($K:$K,S13,$C:$C)</f>
        <v/>
      </c>
      <c r="W13" s="110">
        <f>V13/5</f>
        <v/>
      </c>
      <c r="X13" s="110">
        <f>SUMIF($K:$K,S13,$M:$M)</f>
        <v/>
      </c>
      <c r="Y13" s="198" t="n">
        <v>5</v>
      </c>
      <c r="Z13" s="202" t="n">
        <v>0.03</v>
      </c>
      <c r="AA13" s="87" t="n"/>
      <c r="AB13" s="87" t="n"/>
      <c r="AC13" s="87" t="n"/>
      <c r="AD13" s="87" t="n"/>
      <c r="AE13" s="88" t="n"/>
      <c r="AF13" s="34" t="n"/>
      <c r="AG13" s="34" t="n"/>
      <c r="AH13" s="34" t="n"/>
      <c r="AI13" s="34" t="n"/>
    </row>
    <row r="14" ht="15" customHeight="1" thickBot="1">
      <c r="A14" s="118" t="n">
        <v>4000045</v>
      </c>
      <c r="B14" s="118" t="inlineStr">
        <is>
          <t>CREMA AMERICANA 7,800 KG GRIDO</t>
        </is>
      </c>
      <c r="C14" s="10" t="n">
        <v>17</v>
      </c>
      <c r="D14" s="299" t="n"/>
      <c r="E14" s="96">
        <f>VLOOKUP(A14,MATERIALES!A508:D602,4,0)</f>
        <v/>
      </c>
      <c r="F14" s="97">
        <f>E14*C14</f>
        <v/>
      </c>
      <c r="G14" s="101">
        <f>F14*1.21</f>
        <v/>
      </c>
      <c r="H14" s="96">
        <f>VLOOKUP(A14,MATERIALES!$A:$E,5,0)</f>
        <v/>
      </c>
      <c r="I14" s="96">
        <f>C14*H14</f>
        <v/>
      </c>
      <c r="J14" s="300" t="n"/>
      <c r="K14" s="158" t="inlineStr">
        <is>
          <t xml:space="preserve">GRANEL </t>
        </is>
      </c>
      <c r="L14" s="116">
        <f>VLOOKUP(A14,MATERIALES!$A:$D,4,0)</f>
        <v/>
      </c>
      <c r="M14" s="1">
        <f>L14*C14</f>
        <v/>
      </c>
      <c r="S14" s="313" t="inlineStr">
        <is>
          <t xml:space="preserve">BULTOS </t>
        </is>
      </c>
      <c r="T14" s="25" t="n"/>
      <c r="U14" s="25" t="n"/>
      <c r="V14" s="314">
        <f>SUM(V3:V13)</f>
        <v/>
      </c>
      <c r="W14" s="111">
        <f>O3</f>
        <v/>
      </c>
      <c r="X14" s="112">
        <f>110-W14</f>
        <v/>
      </c>
      <c r="Y14" s="36" t="n"/>
      <c r="Z14" s="86" t="n"/>
      <c r="AA14" s="112">
        <f>$O$3</f>
        <v/>
      </c>
      <c r="AB14" s="112">
        <f>IF(AA14&lt;100,0,O3)</f>
        <v/>
      </c>
      <c r="AC14" s="34" t="n"/>
      <c r="AD14" s="112">
        <f>IF(AB14&lt;100,0,101)</f>
        <v/>
      </c>
      <c r="AE14" s="114">
        <f>Z15-AA14</f>
        <v/>
      </c>
      <c r="AF14" s="112">
        <f>100-AE14</f>
        <v/>
      </c>
      <c r="AG14" s="112">
        <f>AE14</f>
        <v/>
      </c>
      <c r="AH14" s="34" t="n"/>
      <c r="AI14" s="34" t="n"/>
    </row>
    <row r="15" ht="14.5" customHeight="1" thickBot="1">
      <c r="A15" s="118" t="n">
        <v>4000051</v>
      </c>
      <c r="B15" s="118" t="inlineStr">
        <is>
          <t>CREMA COOKIE 7,800 KG GRIDO</t>
        </is>
      </c>
      <c r="C15" s="10" t="n">
        <v>9</v>
      </c>
      <c r="D15" s="299" t="n"/>
      <c r="E15" s="96">
        <f>VLOOKUP(A15,MATERIALES!A509:D603,4,0)</f>
        <v/>
      </c>
      <c r="F15" s="97">
        <f>E15*C15</f>
        <v/>
      </c>
      <c r="G15" s="101">
        <f>F15*1.21</f>
        <v/>
      </c>
      <c r="H15" s="96">
        <f>VLOOKUP(A15,MATERIALES!$A:$E,5,0)</f>
        <v/>
      </c>
      <c r="I15" s="96">
        <f>C15*H15</f>
        <v/>
      </c>
      <c r="J15" s="300" t="n"/>
      <c r="K15" s="158" t="inlineStr">
        <is>
          <t xml:space="preserve">GRANEL </t>
        </is>
      </c>
      <c r="L15" s="116">
        <f>VLOOKUP(A15,MATERIALES!$A:$D,4,0)</f>
        <v/>
      </c>
      <c r="M15" s="1">
        <f>L15*C15</f>
        <v/>
      </c>
      <c r="S15" s="309" t="n"/>
      <c r="T15" s="26" t="n"/>
      <c r="U15" s="26" t="n"/>
      <c r="V15" s="312" t="n"/>
      <c r="W15" s="89" t="n"/>
      <c r="X15" s="90" t="n"/>
      <c r="Y15" s="90" t="n"/>
      <c r="Z15" s="36" t="n">
        <v>200</v>
      </c>
      <c r="AA15" s="112">
        <f>$O$3</f>
        <v/>
      </c>
      <c r="AB15" s="112">
        <f>IF(AA15&lt;200,0,$O$3)</f>
        <v/>
      </c>
      <c r="AC15" s="34" t="n"/>
      <c r="AD15" s="112">
        <f>IF(AB15&lt;100,0,101)</f>
        <v/>
      </c>
      <c r="AE15" s="114">
        <f>Z16-AA15</f>
        <v/>
      </c>
      <c r="AF15" s="112">
        <f>100-AE15</f>
        <v/>
      </c>
      <c r="AG15" s="112">
        <f>AE15</f>
        <v/>
      </c>
      <c r="AH15" s="34" t="n"/>
      <c r="AI15" s="34" t="n"/>
    </row>
    <row r="16" ht="15" customHeight="1" thickBot="1">
      <c r="A16" s="118" t="n">
        <v>4000066</v>
      </c>
      <c r="B16" s="118" t="inlineStr">
        <is>
          <t>CREMA RUSA 7,800 KG GRIDO</t>
        </is>
      </c>
      <c r="C16" s="10" t="n">
        <v>2</v>
      </c>
      <c r="D16" s="299" t="n"/>
      <c r="E16" s="96">
        <f>VLOOKUP(A16,MATERIALES!A510:D604,4,0)</f>
        <v/>
      </c>
      <c r="F16" s="97">
        <f>E16*C16</f>
        <v/>
      </c>
      <c r="G16" s="101">
        <f>F16*1.21</f>
        <v/>
      </c>
      <c r="H16" s="96">
        <f>VLOOKUP(A16,MATERIALES!$A:$E,5,0)</f>
        <v/>
      </c>
      <c r="I16" s="96">
        <f>C16*H16</f>
        <v/>
      </c>
      <c r="J16" s="300" t="n"/>
      <c r="K16" s="158" t="inlineStr">
        <is>
          <t xml:space="preserve">GRANEL </t>
        </is>
      </c>
      <c r="L16" s="116">
        <f>VLOOKUP(A16,MATERIALES!$A:$D,4,0)</f>
        <v/>
      </c>
      <c r="M16" s="1">
        <f>L16*C16</f>
        <v/>
      </c>
      <c r="N16" s="11" t="n"/>
      <c r="O16" s="315" t="inlineStr">
        <is>
          <t>DIFERENCIA ENTRE MODALIDADES</t>
        </is>
      </c>
      <c r="P16" s="292" t="n"/>
      <c r="Q16" s="293" t="n"/>
      <c r="S16" s="316" t="inlineStr">
        <is>
          <t xml:space="preserve">BASES </t>
        </is>
      </c>
      <c r="T16" s="23" t="n"/>
      <c r="U16" s="23" t="n"/>
      <c r="V16" s="317">
        <f>SUM(W3:W12)</f>
        <v/>
      </c>
      <c r="W16" s="92" t="n"/>
      <c r="Z16" s="36" t="n">
        <v>300</v>
      </c>
      <c r="AA16" s="112">
        <f>$O$3</f>
        <v/>
      </c>
      <c r="AB16" s="112">
        <f>IF(AA16&lt;300,0,$O$3)</f>
        <v/>
      </c>
      <c r="AC16" s="34" t="n"/>
      <c r="AD16" s="112">
        <f>IF(AB16&lt;100,0,101)</f>
        <v/>
      </c>
      <c r="AE16" s="114">
        <f>Z17-AA16</f>
        <v/>
      </c>
      <c r="AF16" s="112">
        <f>100-AE16</f>
        <v/>
      </c>
      <c r="AG16" s="112">
        <f>AE16</f>
        <v/>
      </c>
      <c r="AH16" s="34" t="n"/>
      <c r="AI16" s="34" t="n"/>
    </row>
    <row r="17" ht="15" customHeight="1" thickBot="1">
      <c r="A17" s="118" t="n">
        <v>4000041</v>
      </c>
      <c r="B17" s="118" t="inlineStr">
        <is>
          <t>DULCE DE LECHE 7,800 KG GRIDO</t>
        </is>
      </c>
      <c r="C17" s="10" t="n">
        <v>21</v>
      </c>
      <c r="D17" s="299" t="n"/>
      <c r="E17" s="96">
        <f>VLOOKUP(A17,MATERIALES!A511:D605,4,0)</f>
        <v/>
      </c>
      <c r="F17" s="97">
        <f>E17*C17</f>
        <v/>
      </c>
      <c r="G17" s="101">
        <f>F17*1.21</f>
        <v/>
      </c>
      <c r="H17" s="96">
        <f>VLOOKUP(A17,MATERIALES!$A:$E,5,0)</f>
        <v/>
      </c>
      <c r="I17" s="96">
        <f>C17*H17</f>
        <v/>
      </c>
      <c r="J17" s="300" t="n"/>
      <c r="K17" s="158" t="inlineStr">
        <is>
          <t xml:space="preserve">GRANEL </t>
        </is>
      </c>
      <c r="L17" s="116">
        <f>VLOOKUP(A17,MATERIALES!$A:$D,4,0)</f>
        <v/>
      </c>
      <c r="M17" s="1">
        <f>L17*C17</f>
        <v/>
      </c>
      <c r="N17" s="296" t="inlineStr">
        <is>
          <t>%</t>
        </is>
      </c>
      <c r="O17" s="318">
        <f>O9-O3</f>
        <v/>
      </c>
      <c r="P17" s="306" t="n"/>
      <c r="Q17" s="298" t="n"/>
      <c r="S17" s="308" t="n"/>
      <c r="T17" s="24" t="n"/>
      <c r="U17" s="24" t="n"/>
      <c r="V17" s="312" t="n"/>
      <c r="W17" s="93" t="n"/>
      <c r="X17" s="94" t="n"/>
      <c r="Y17" s="94" t="n"/>
      <c r="Z17" s="95" t="n">
        <v>400</v>
      </c>
      <c r="AA17" s="112">
        <f>$O$3</f>
        <v/>
      </c>
      <c r="AB17" s="112">
        <f>IF(AA17&lt;400,0,$O$3)</f>
        <v/>
      </c>
      <c r="AC17" s="34" t="n"/>
      <c r="AD17" s="112">
        <f>IF(AB17&lt;100,0,101)</f>
        <v/>
      </c>
      <c r="AE17" s="114">
        <f>Z18-AA17</f>
        <v/>
      </c>
      <c r="AF17" s="112">
        <f>100-AE17</f>
        <v/>
      </c>
      <c r="AG17" s="112">
        <f>AE17</f>
        <v/>
      </c>
      <c r="AH17" s="34" t="n"/>
      <c r="AI17" s="34" t="n"/>
    </row>
    <row r="18" ht="14.5" customHeight="1" thickBot="1">
      <c r="A18" s="118" t="n">
        <v>4000069</v>
      </c>
      <c r="B18" s="118" t="inlineStr">
        <is>
          <t>DULCE LECHE C/BROWNIE 7,800 KG GRIDO</t>
        </is>
      </c>
      <c r="C18" s="10" t="n">
        <v>0</v>
      </c>
      <c r="D18" s="299" t="n"/>
      <c r="E18" s="96">
        <f>VLOOKUP(A18,MATERIALES!A512:D606,4,0)</f>
        <v/>
      </c>
      <c r="F18" s="97">
        <f>E18*C18</f>
        <v/>
      </c>
      <c r="G18" s="101">
        <f>F18*1.21</f>
        <v/>
      </c>
      <c r="H18" s="96">
        <f>VLOOKUP(A18,MATERIALES!$A:$E,5,0)</f>
        <v/>
      </c>
      <c r="I18" s="96">
        <f>C18*H18</f>
        <v/>
      </c>
      <c r="J18" s="300" t="n"/>
      <c r="K18" s="158" t="inlineStr">
        <is>
          <t xml:space="preserve">GRANEL </t>
        </is>
      </c>
      <c r="L18" s="116">
        <f>VLOOKUP(A18,MATERIALES!$A:$D,4,0)</f>
        <v/>
      </c>
      <c r="M18" s="1">
        <f>L18*C18</f>
        <v/>
      </c>
      <c r="N18" s="301" t="n"/>
      <c r="O18" s="302" t="n"/>
      <c r="Q18" s="303" t="n"/>
      <c r="R18" s="8" t="n"/>
      <c r="Z18" s="36" t="n">
        <v>500</v>
      </c>
      <c r="AA18" s="112">
        <f>$O$3</f>
        <v/>
      </c>
      <c r="AB18" s="112">
        <f>IF(AA18&lt;400,0,$O$3)</f>
        <v/>
      </c>
      <c r="AC18" s="34" t="n"/>
      <c r="AD18" s="112">
        <f>IF(AB18&lt;100,0,101)</f>
        <v/>
      </c>
      <c r="AE18" s="114">
        <f>Z19-AA18</f>
        <v/>
      </c>
      <c r="AF18" s="112">
        <f>100-AE18</f>
        <v/>
      </c>
      <c r="AG18" s="112">
        <f>AE18</f>
        <v/>
      </c>
      <c r="AH18" s="34" t="n"/>
      <c r="AI18" s="34" t="n"/>
    </row>
    <row r="19" ht="14.5" customHeight="1" thickBot="1">
      <c r="A19" s="118" t="n">
        <v>4000068</v>
      </c>
      <c r="B19" s="118" t="inlineStr">
        <is>
          <t>DULCE LECHE C/NUEZ 7,800 KG GRIDO</t>
        </is>
      </c>
      <c r="C19" s="10" t="n">
        <v>1</v>
      </c>
      <c r="D19" s="299" t="n"/>
      <c r="E19" s="96">
        <f>VLOOKUP(A19,MATERIALES!A513:D607,4,0)</f>
        <v/>
      </c>
      <c r="F19" s="97">
        <f>E19*C19</f>
        <v/>
      </c>
      <c r="G19" s="101">
        <f>F19*1.21</f>
        <v/>
      </c>
      <c r="H19" s="96">
        <f>VLOOKUP(A19,MATERIALES!$A:$E,5,0)</f>
        <v/>
      </c>
      <c r="I19" s="96">
        <f>C19*H19</f>
        <v/>
      </c>
      <c r="J19" s="300" t="n"/>
      <c r="K19" s="158" t="inlineStr">
        <is>
          <t xml:space="preserve">GRANEL </t>
        </is>
      </c>
      <c r="L19" s="116">
        <f>VLOOKUP(A19,MATERIALES!$A:$D,4,0)</f>
        <v/>
      </c>
      <c r="M19" s="1">
        <f>L19*C19</f>
        <v/>
      </c>
      <c r="N19" s="11" t="n"/>
      <c r="O19" s="307" t="n"/>
      <c r="P19" s="308" t="n"/>
      <c r="Q19" s="309" t="n"/>
      <c r="R19" s="8" t="n"/>
      <c r="Z19" s="36" t="n">
        <v>600</v>
      </c>
      <c r="AA19" s="112">
        <f>$O$3</f>
        <v/>
      </c>
      <c r="AB19" s="112">
        <f>IF(AA19&lt;400,0,$O$3)</f>
        <v/>
      </c>
      <c r="AC19" s="34" t="n"/>
      <c r="AD19" s="112">
        <f>IF(AB19&lt;100,0,101)</f>
        <v/>
      </c>
      <c r="AE19" s="114">
        <f>Z20-AA19</f>
        <v/>
      </c>
      <c r="AF19" s="112">
        <f>100-AE19</f>
        <v/>
      </c>
      <c r="AG19" s="112">
        <f>AE19</f>
        <v/>
      </c>
      <c r="AH19" s="34" t="n"/>
      <c r="AI19" s="34" t="n"/>
    </row>
    <row r="20" ht="14.5" customHeight="1" thickBot="1">
      <c r="A20" s="118" t="n">
        <v>4000046</v>
      </c>
      <c r="B20" s="118" t="inlineStr">
        <is>
          <t>DULCE LECHE GRANIZADO 7,800 KG GRIDO</t>
        </is>
      </c>
      <c r="C20" s="10" t="n">
        <v>22</v>
      </c>
      <c r="D20" s="299" t="n"/>
      <c r="E20" s="96">
        <f>VLOOKUP(A20,MATERIALES!A514:D608,4,0)</f>
        <v/>
      </c>
      <c r="F20" s="97">
        <f>E20*C20</f>
        <v/>
      </c>
      <c r="G20" s="101">
        <f>F20*1.21</f>
        <v/>
      </c>
      <c r="H20" s="96">
        <f>VLOOKUP(A20,MATERIALES!$A:$E,5,0)</f>
        <v/>
      </c>
      <c r="I20" s="96">
        <f>C20*H20</f>
        <v/>
      </c>
      <c r="J20" s="300" t="n"/>
      <c r="K20" s="158" t="inlineStr">
        <is>
          <t xml:space="preserve">GRANEL </t>
        </is>
      </c>
      <c r="L20" s="116">
        <f>VLOOKUP(A20,MATERIALES!$A:$D,4,0)</f>
        <v/>
      </c>
      <c r="M20" s="1">
        <f>L20*C20</f>
        <v/>
      </c>
      <c r="N20" s="11" t="n"/>
      <c r="Q20" s="14" t="n"/>
      <c r="R20" s="8" t="n"/>
      <c r="Z20" s="34" t="n">
        <v>700</v>
      </c>
      <c r="AA20" s="112">
        <f>$O$3</f>
        <v/>
      </c>
      <c r="AB20" s="112">
        <f>IF(AA20&lt;400,0,$O$3)</f>
        <v/>
      </c>
      <c r="AC20" s="34" t="n"/>
      <c r="AD20" s="112">
        <f>IF(AB20&lt;100,0,101)</f>
        <v/>
      </c>
      <c r="AE20" s="114">
        <f>Z21-AA20</f>
        <v/>
      </c>
      <c r="AF20" s="112">
        <f>100-AE20</f>
        <v/>
      </c>
      <c r="AG20" s="112">
        <f>AE20</f>
        <v/>
      </c>
      <c r="AH20" s="34" t="n"/>
      <c r="AI20" s="34" t="n"/>
    </row>
    <row r="21" ht="14.5" customHeight="1" thickBot="1">
      <c r="A21" s="118" t="n">
        <v>4000316</v>
      </c>
      <c r="B21" s="118" t="inlineStr">
        <is>
          <t>DURAZNO A LA CREMA 7,800 KG GRIDO</t>
        </is>
      </c>
      <c r="C21" s="10" t="n">
        <v>0</v>
      </c>
      <c r="D21" s="299" t="n"/>
      <c r="E21" s="96">
        <f>VLOOKUP(A21,MATERIALES!A515:D609,4,0)</f>
        <v/>
      </c>
      <c r="F21" s="97">
        <f>E21*C21</f>
        <v/>
      </c>
      <c r="G21" s="101">
        <f>F21*1.21</f>
        <v/>
      </c>
      <c r="H21" s="96">
        <f>VLOOKUP(A21,MATERIALES!$A:$E,5,0)</f>
        <v/>
      </c>
      <c r="I21" s="96">
        <f>C21*H21</f>
        <v/>
      </c>
      <c r="J21" s="300" t="n"/>
      <c r="K21" s="158" t="inlineStr">
        <is>
          <t xml:space="preserve">GRANEL </t>
        </is>
      </c>
      <c r="L21" s="116">
        <f>VLOOKUP(A21,MATERIALES!$A:$D,4,0)</f>
        <v/>
      </c>
      <c r="M21" s="1">
        <f>L21*C21</f>
        <v/>
      </c>
      <c r="N21" s="11" t="n"/>
      <c r="Q21" s="14" t="n"/>
      <c r="R21" s="8" t="n"/>
      <c r="Z21" s="34" t="n">
        <v>800</v>
      </c>
      <c r="AA21" s="112">
        <f>$O$3</f>
        <v/>
      </c>
      <c r="AB21" s="112">
        <f>IF(AA21&lt;400,0,$O$3)</f>
        <v/>
      </c>
      <c r="AC21" s="34" t="n"/>
      <c r="AD21" s="112">
        <f>IF(AB21&lt;100,0,101)</f>
        <v/>
      </c>
      <c r="AE21" s="114">
        <f>Z22-AA21</f>
        <v/>
      </c>
      <c r="AF21" s="112">
        <f>100-AE21</f>
        <v/>
      </c>
      <c r="AG21" s="112">
        <f>AE21</f>
        <v/>
      </c>
      <c r="AH21" s="34" t="n"/>
      <c r="AI21" s="34" t="n"/>
    </row>
    <row r="22" ht="14.5" customHeight="1" thickBot="1">
      <c r="A22" s="118" t="n">
        <v>4000047</v>
      </c>
      <c r="B22" s="118" t="inlineStr">
        <is>
          <t>FLAN 7,800 KG GRIDO</t>
        </is>
      </c>
      <c r="C22" s="10" t="n">
        <v>4</v>
      </c>
      <c r="D22" s="299" t="n"/>
      <c r="E22" s="96">
        <f>VLOOKUP(A22,MATERIALES!A516:D610,4,0)</f>
        <v/>
      </c>
      <c r="F22" s="97">
        <f>E22*C22</f>
        <v/>
      </c>
      <c r="G22" s="101">
        <f>F22*1.21</f>
        <v/>
      </c>
      <c r="H22" s="96">
        <f>VLOOKUP(A22,MATERIALES!$A:$E,5,0)</f>
        <v/>
      </c>
      <c r="I22" s="96">
        <f>C22*H22</f>
        <v/>
      </c>
      <c r="J22" s="300" t="n"/>
      <c r="K22" s="158" t="inlineStr">
        <is>
          <t xml:space="preserve">GRANEL </t>
        </is>
      </c>
      <c r="L22" s="116">
        <f>VLOOKUP(A22,MATERIALES!$A:$D,4,0)</f>
        <v/>
      </c>
      <c r="M22" s="1">
        <f>L22*C22</f>
        <v/>
      </c>
      <c r="N22" s="11" t="n"/>
      <c r="Q22" s="14" t="n"/>
      <c r="R22" s="8" t="n"/>
      <c r="Z22" s="34" t="n">
        <v>900</v>
      </c>
      <c r="AA22" s="112">
        <f>$O$3</f>
        <v/>
      </c>
      <c r="AB22" s="112">
        <f>IF(AA22&lt;400,0,$O$3)</f>
        <v/>
      </c>
      <c r="AC22" s="34" t="n"/>
      <c r="AD22" s="112">
        <f>IF(AB22&lt;100,0,101)</f>
        <v/>
      </c>
      <c r="AE22" s="114">
        <f>Z23-AA22</f>
        <v/>
      </c>
      <c r="AF22" s="112">
        <f>100-AE22</f>
        <v/>
      </c>
      <c r="AG22" s="112">
        <f>AE22</f>
        <v/>
      </c>
      <c r="AH22" s="34" t="n"/>
      <c r="AI22" s="34" t="n"/>
    </row>
    <row r="23" ht="14.5" customHeight="1" thickBot="1">
      <c r="A23" s="118" t="n">
        <v>4000042</v>
      </c>
      <c r="B23" s="118" t="inlineStr">
        <is>
          <t>FRUTILLA A LA CREMA 7,800KG GRIDO</t>
        </is>
      </c>
      <c r="C23" s="10" t="n">
        <v>22</v>
      </c>
      <c r="D23" s="299" t="n"/>
      <c r="E23" s="96">
        <f>VLOOKUP(A23,MATERIALES!A517:D611,4,0)</f>
        <v/>
      </c>
      <c r="F23" s="97">
        <f>E23*C23</f>
        <v/>
      </c>
      <c r="G23" s="101">
        <f>F23*1.21</f>
        <v/>
      </c>
      <c r="H23" s="96">
        <f>VLOOKUP(A23,MATERIALES!$A:$E,5,0)</f>
        <v/>
      </c>
      <c r="I23" s="96">
        <f>C23*H23</f>
        <v/>
      </c>
      <c r="J23" s="300" t="n"/>
      <c r="K23" s="158" t="inlineStr">
        <is>
          <t xml:space="preserve">GRANEL </t>
        </is>
      </c>
      <c r="L23" s="116">
        <f>VLOOKUP(A23,MATERIALES!$A:$D,4,0)</f>
        <v/>
      </c>
      <c r="M23" s="1">
        <f>L23*C23</f>
        <v/>
      </c>
      <c r="N23" s="11" t="n"/>
      <c r="Q23" s="14" t="n"/>
      <c r="R23" s="8" t="n"/>
      <c r="Z23" s="34" t="n">
        <v>1000</v>
      </c>
      <c r="AA23" s="112">
        <f>$O$3</f>
        <v/>
      </c>
      <c r="AB23" s="112">
        <f>IF(AA23&lt;400,0,$O$3)</f>
        <v/>
      </c>
      <c r="AC23" s="34" t="n"/>
      <c r="AD23" s="112">
        <f>IF(AB23&lt;100,0,101)</f>
        <v/>
      </c>
      <c r="AE23" s="114">
        <f>Z24-AA23</f>
        <v/>
      </c>
      <c r="AF23" s="112">
        <f>100-AE23</f>
        <v/>
      </c>
      <c r="AG23" s="112">
        <f>AE23</f>
        <v/>
      </c>
      <c r="AH23" s="34" t="n"/>
      <c r="AI23" s="34" t="n"/>
    </row>
    <row r="24" ht="14.5" customHeight="1" thickBot="1">
      <c r="A24" s="118" t="n">
        <v>4000194</v>
      </c>
      <c r="B24" s="118" t="inlineStr">
        <is>
          <t>FRUTILLA AL AGUA 7,800 KG GRIDO</t>
        </is>
      </c>
      <c r="C24" s="10" t="n">
        <v>0</v>
      </c>
      <c r="D24" s="299" t="n"/>
      <c r="E24" s="96">
        <f>VLOOKUP(A24,MATERIALES!A518:D612,4,0)</f>
        <v/>
      </c>
      <c r="F24" s="97">
        <f>E24*C24</f>
        <v/>
      </c>
      <c r="G24" s="101">
        <f>F24*1.21</f>
        <v/>
      </c>
      <c r="H24" s="96">
        <f>VLOOKUP(A24,MATERIALES!$A:$E,5,0)</f>
        <v/>
      </c>
      <c r="I24" s="96">
        <f>C24*H24</f>
        <v/>
      </c>
      <c r="J24" s="300" t="n"/>
      <c r="K24" s="158" t="inlineStr">
        <is>
          <t xml:space="preserve">GRANEL </t>
        </is>
      </c>
      <c r="L24" s="116">
        <f>VLOOKUP(A24,MATERIALES!$A:$D,4,0)</f>
        <v/>
      </c>
      <c r="M24" s="1">
        <f>L24*C24</f>
        <v/>
      </c>
      <c r="N24" s="11" t="n"/>
      <c r="Q24" s="14" t="n"/>
      <c r="R24" s="8" t="n"/>
      <c r="Z24" s="34" t="n">
        <v>1100</v>
      </c>
      <c r="AA24" s="112">
        <f>$O$3</f>
        <v/>
      </c>
      <c r="AB24" s="112">
        <f>IF(AA24&lt;400,0,$O$3)</f>
        <v/>
      </c>
      <c r="AC24" s="34" t="n"/>
      <c r="AD24" s="112">
        <f>IF(AB24&lt;100,0,101)</f>
        <v/>
      </c>
      <c r="AE24" s="114">
        <f>Z25-AA24</f>
        <v/>
      </c>
      <c r="AF24" s="112">
        <f>100-AE24</f>
        <v/>
      </c>
      <c r="AG24" s="112">
        <f>AE24</f>
        <v/>
      </c>
      <c r="AH24" s="34" t="n"/>
      <c r="AI24" s="34" t="n"/>
    </row>
    <row r="25" ht="14.5" customHeight="1" thickBot="1">
      <c r="A25" s="118" t="n">
        <v>4000607</v>
      </c>
      <c r="B25" s="118" t="inlineStr">
        <is>
          <t>FRUTOS ROJOS AL AGUA 7,800 KG GRIDO</t>
        </is>
      </c>
      <c r="C25" s="10" t="n">
        <v>2</v>
      </c>
      <c r="D25" s="299" t="n"/>
      <c r="E25" s="96">
        <f>VLOOKUP(A25,MATERIALES!A519:D613,4,0)</f>
        <v/>
      </c>
      <c r="F25" s="97">
        <f>E25*C25</f>
        <v/>
      </c>
      <c r="G25" s="101">
        <f>F25*1.21</f>
        <v/>
      </c>
      <c r="H25" s="96">
        <f>VLOOKUP(A25,MATERIALES!$A:$E,5,0)</f>
        <v/>
      </c>
      <c r="I25" s="96">
        <f>C25*H25</f>
        <v/>
      </c>
      <c r="J25" s="300" t="n"/>
      <c r="K25" s="158" t="inlineStr">
        <is>
          <t xml:space="preserve">GRANEL </t>
        </is>
      </c>
      <c r="L25" s="116">
        <f>VLOOKUP(A25,MATERIALES!$A:$D,4,0)</f>
        <v/>
      </c>
      <c r="M25" s="1">
        <f>L25*C25</f>
        <v/>
      </c>
      <c r="N25" s="11" t="n"/>
      <c r="R25" s="8" t="n"/>
      <c r="Z25" s="34" t="n">
        <v>1200</v>
      </c>
      <c r="AA25" s="112">
        <f>$O$3</f>
        <v/>
      </c>
      <c r="AB25" s="112">
        <f>IF(AA25&lt;400,0,$O$3)</f>
        <v/>
      </c>
      <c r="AC25" s="34" t="n"/>
      <c r="AD25" s="112">
        <f>IF(AB25&lt;100,0,101)</f>
        <v/>
      </c>
      <c r="AE25" s="114">
        <f>Z26-AA25</f>
        <v/>
      </c>
      <c r="AF25" s="112">
        <f>100-AE25</f>
        <v/>
      </c>
      <c r="AG25" s="112">
        <f>AE25</f>
        <v/>
      </c>
      <c r="AH25" s="34" t="n"/>
      <c r="AI25" s="34" t="n"/>
    </row>
    <row r="26" ht="14.5" customHeight="1" thickBot="1">
      <c r="A26" s="118" t="n">
        <v>4000040</v>
      </c>
      <c r="B26" s="118" t="inlineStr">
        <is>
          <t>GRANIZADO 7,800 KG GRIDO</t>
        </is>
      </c>
      <c r="C26" s="10" t="n">
        <v>11</v>
      </c>
      <c r="D26" s="299" t="n"/>
      <c r="E26" s="96">
        <f>VLOOKUP(A26,MATERIALES!A520:D614,4,0)</f>
        <v/>
      </c>
      <c r="F26" s="97">
        <f>E26*C26</f>
        <v/>
      </c>
      <c r="G26" s="101">
        <f>F26*1.21</f>
        <v/>
      </c>
      <c r="H26" s="96">
        <f>VLOOKUP(A26,MATERIALES!$A:$E,5,0)</f>
        <v/>
      </c>
      <c r="I26" s="96">
        <f>C26*H26</f>
        <v/>
      </c>
      <c r="J26" s="300" t="n"/>
      <c r="K26" s="158" t="inlineStr">
        <is>
          <t xml:space="preserve">GRANEL </t>
        </is>
      </c>
      <c r="L26" s="116">
        <f>VLOOKUP(A26,MATERIALES!$A:$D,4,0)</f>
        <v/>
      </c>
      <c r="M26" s="1">
        <f>L26*C26</f>
        <v/>
      </c>
      <c r="N26" s="11" t="n"/>
      <c r="Q26" s="14" t="n"/>
      <c r="Z26" s="34" t="n">
        <v>1300</v>
      </c>
      <c r="AA26" s="112">
        <f>$O$3</f>
        <v/>
      </c>
      <c r="AB26" s="112">
        <f>IF(AA26&lt;400,0,$O$3)</f>
        <v/>
      </c>
      <c r="AC26" s="34" t="n"/>
      <c r="AD26" s="112">
        <f>IF(AB26&lt;100,0,101)</f>
        <v/>
      </c>
      <c r="AE26" s="114">
        <f>Z27-AA26</f>
        <v/>
      </c>
      <c r="AF26" s="112">
        <f>100-AE26</f>
        <v/>
      </c>
      <c r="AG26" s="112">
        <f>AE26</f>
        <v/>
      </c>
      <c r="AH26" s="34" t="n"/>
      <c r="AI26" s="34" t="n"/>
    </row>
    <row r="27" ht="14.5" customHeight="1" thickBot="1">
      <c r="A27" s="118" t="n">
        <v>4000056</v>
      </c>
      <c r="B27" s="118" t="inlineStr">
        <is>
          <t>KINOTOS AL WHISKY 7,800 KG GRIDO</t>
        </is>
      </c>
      <c r="C27" s="10" t="n">
        <v>0</v>
      </c>
      <c r="D27" s="299" t="n"/>
      <c r="E27" s="96">
        <f>VLOOKUP(A27,MATERIALES!A521:D615,4,0)</f>
        <v/>
      </c>
      <c r="F27" s="97">
        <f>E27*C27</f>
        <v/>
      </c>
      <c r="G27" s="101">
        <f>F27*1.21</f>
        <v/>
      </c>
      <c r="H27" s="96">
        <f>VLOOKUP(A27,MATERIALES!$A:$E,5,0)</f>
        <v/>
      </c>
      <c r="I27" s="96">
        <f>C27*H27</f>
        <v/>
      </c>
      <c r="J27" s="300" t="n"/>
      <c r="K27" s="158" t="inlineStr">
        <is>
          <t xml:space="preserve">GRANEL </t>
        </is>
      </c>
      <c r="L27" s="116">
        <f>VLOOKUP(A27,MATERIALES!$A:$D,4,0)</f>
        <v/>
      </c>
      <c r="M27" s="1">
        <f>L27*C27</f>
        <v/>
      </c>
      <c r="N27" s="11" t="n"/>
      <c r="Z27" s="34" t="n">
        <v>1400</v>
      </c>
      <c r="AA27" s="112">
        <f>$O$3</f>
        <v/>
      </c>
      <c r="AB27" s="112">
        <f>IF(AA27&lt;400,0,$O$3)</f>
        <v/>
      </c>
      <c r="AC27" s="34" t="n"/>
      <c r="AD27" s="112">
        <f>IF(AB27&lt;100,0,101)</f>
        <v/>
      </c>
      <c r="AE27" s="114">
        <f>Z28-AA27</f>
        <v/>
      </c>
      <c r="AF27" s="112">
        <f>100-AE27</f>
        <v/>
      </c>
      <c r="AG27" s="112">
        <f>AE27</f>
        <v/>
      </c>
      <c r="AH27" s="34" t="n"/>
      <c r="AI27" s="34" t="n"/>
    </row>
    <row r="28" ht="14.5" customHeight="1" thickBot="1">
      <c r="A28" s="118" t="n">
        <v>4000036</v>
      </c>
      <c r="B28" s="118" t="inlineStr">
        <is>
          <t>LIMON AL AGUA 7,800 KG GRIDO</t>
        </is>
      </c>
      <c r="C28" s="10" t="n">
        <v>5</v>
      </c>
      <c r="D28" s="299" t="n"/>
      <c r="E28" s="96">
        <f>VLOOKUP(A28,MATERIALES!A522:D616,4,0)</f>
        <v/>
      </c>
      <c r="F28" s="97">
        <f>E28*C28</f>
        <v/>
      </c>
      <c r="G28" s="101">
        <f>F28*1.21</f>
        <v/>
      </c>
      <c r="H28" s="96">
        <f>VLOOKUP(A28,MATERIALES!$A:$E,5,0)</f>
        <v/>
      </c>
      <c r="I28" s="96">
        <f>C28*H28</f>
        <v/>
      </c>
      <c r="J28" s="300" t="n"/>
      <c r="K28" s="158" t="inlineStr">
        <is>
          <t xml:space="preserve">GRANEL </t>
        </is>
      </c>
      <c r="L28" s="116">
        <f>VLOOKUP(A28,MATERIALES!$A:$D,4,0)</f>
        <v/>
      </c>
      <c r="M28" s="1">
        <f>L28*C28</f>
        <v/>
      </c>
      <c r="N28" s="11" t="n"/>
      <c r="Z28" s="34" t="n">
        <v>1500</v>
      </c>
      <c r="AA28" s="112">
        <f>$O$3</f>
        <v/>
      </c>
      <c r="AB28" s="112">
        <f>IF(AA28&lt;400,0,$O$3)</f>
        <v/>
      </c>
      <c r="AC28" s="34" t="n"/>
      <c r="AD28" s="112">
        <f>IF(AB28&lt;100,0,101)</f>
        <v/>
      </c>
      <c r="AE28" s="114">
        <f>Z29-AA28</f>
        <v/>
      </c>
      <c r="AF28" s="112">
        <f>100-AE28</f>
        <v/>
      </c>
      <c r="AG28" s="112">
        <f>AE28</f>
        <v/>
      </c>
      <c r="AH28" s="34" t="n"/>
      <c r="AI28" s="34" t="n"/>
    </row>
    <row r="29" ht="14.5" customHeight="1" thickBot="1">
      <c r="A29" s="118" t="n">
        <v>4000038</v>
      </c>
      <c r="B29" s="118" t="inlineStr">
        <is>
          <t>MARACUYA AL AGUA 7,800 KG GRIDO</t>
        </is>
      </c>
      <c r="C29" s="10" t="n">
        <v>3</v>
      </c>
      <c r="D29" s="299" t="n"/>
      <c r="E29" s="96">
        <f>VLOOKUP(A29,MATERIALES!A523:D617,4,0)</f>
        <v/>
      </c>
      <c r="F29" s="97">
        <f>E29*C29</f>
        <v/>
      </c>
      <c r="G29" s="101">
        <f>F29*1.21</f>
        <v/>
      </c>
      <c r="H29" s="96">
        <f>VLOOKUP(A29,MATERIALES!$A:$E,5,0)</f>
        <v/>
      </c>
      <c r="I29" s="96">
        <f>C29*H29</f>
        <v/>
      </c>
      <c r="J29" s="300" t="n"/>
      <c r="K29" s="158" t="inlineStr">
        <is>
          <t xml:space="preserve">GRANEL </t>
        </is>
      </c>
      <c r="L29" s="116">
        <f>VLOOKUP(A29,MATERIALES!$A:$D,4,0)</f>
        <v/>
      </c>
      <c r="M29" s="1">
        <f>L29*C29</f>
        <v/>
      </c>
      <c r="N29" s="11" t="n"/>
      <c r="Z29" s="34" t="n">
        <v>1600</v>
      </c>
      <c r="AA29" s="112">
        <f>$O$3</f>
        <v/>
      </c>
      <c r="AB29" s="112">
        <f>IF(AA29&lt;400,0,$O$3)</f>
        <v/>
      </c>
      <c r="AC29" s="34" t="n"/>
      <c r="AD29" s="112">
        <f>IF(AB29&lt;100,0,101)</f>
        <v/>
      </c>
      <c r="AE29" s="114">
        <f>Z30-AA29</f>
        <v/>
      </c>
      <c r="AF29" s="112">
        <f>100-AE29</f>
        <v/>
      </c>
      <c r="AG29" s="112">
        <f>AE29</f>
        <v/>
      </c>
      <c r="AH29" s="34" t="n"/>
      <c r="AI29" s="34" t="n"/>
    </row>
    <row r="30" ht="14.5" customHeight="1" thickBot="1">
      <c r="A30" s="118" t="n">
        <v>4000054</v>
      </c>
      <c r="B30" s="118" t="inlineStr">
        <is>
          <t>MARROC 7,800 KG GRIDO</t>
        </is>
      </c>
      <c r="C30" s="10" t="n">
        <v>11</v>
      </c>
      <c r="D30" s="299" t="n"/>
      <c r="E30" s="96">
        <f>VLOOKUP(A30,MATERIALES!A524:D618,4,0)</f>
        <v/>
      </c>
      <c r="F30" s="97">
        <f>E30*C30</f>
        <v/>
      </c>
      <c r="G30" s="101">
        <f>F30*1.21</f>
        <v/>
      </c>
      <c r="H30" s="96">
        <f>VLOOKUP(A30,MATERIALES!$A:$E,5,0)</f>
        <v/>
      </c>
      <c r="I30" s="96">
        <f>C30*H30</f>
        <v/>
      </c>
      <c r="J30" s="300" t="n"/>
      <c r="K30" s="158" t="inlineStr">
        <is>
          <t xml:space="preserve">GRANEL </t>
        </is>
      </c>
      <c r="L30" s="116">
        <f>VLOOKUP(A30,MATERIALES!$A:$D,4,0)</f>
        <v/>
      </c>
      <c r="M30" s="1">
        <f>L30*C30</f>
        <v/>
      </c>
      <c r="Z30" s="34" t="n">
        <v>1700</v>
      </c>
      <c r="AA30" s="112">
        <f>$O$3</f>
        <v/>
      </c>
      <c r="AB30" s="112">
        <f>IF(AA30&lt;400,0,$O$3)</f>
        <v/>
      </c>
      <c r="AC30" s="34" t="n"/>
      <c r="AD30" s="112">
        <f>IF(AB30&lt;100,0,101)</f>
        <v/>
      </c>
      <c r="AE30" s="114">
        <f>Z31-AA30</f>
        <v/>
      </c>
      <c r="AF30" s="112">
        <f>100-AE30</f>
        <v/>
      </c>
      <c r="AG30" s="112">
        <f>AE30</f>
        <v/>
      </c>
      <c r="AH30" s="34" t="n"/>
      <c r="AI30" s="34" t="n"/>
    </row>
    <row r="31" ht="14.5" customHeight="1" thickBot="1">
      <c r="A31" s="118" t="n">
        <v>4000058</v>
      </c>
      <c r="B31" s="118" t="inlineStr">
        <is>
          <t>MASCAR.C/FRUTOS BOSQ 7,800KG GRIDO</t>
        </is>
      </c>
      <c r="C31" s="10" t="n">
        <v>7</v>
      </c>
      <c r="D31" s="299" t="n"/>
      <c r="E31" s="96">
        <f>VLOOKUP(A31,MATERIALES!A525:D619,4,0)</f>
        <v/>
      </c>
      <c r="F31" s="97">
        <f>E31*C31</f>
        <v/>
      </c>
      <c r="G31" s="101">
        <f>F31*1.21</f>
        <v/>
      </c>
      <c r="H31" s="96">
        <f>VLOOKUP(A31,MATERIALES!$A:$E,5,0)</f>
        <v/>
      </c>
      <c r="I31" s="96">
        <f>C31*H31</f>
        <v/>
      </c>
      <c r="J31" s="300" t="n"/>
      <c r="K31" s="158" t="inlineStr">
        <is>
          <t xml:space="preserve">GRANEL </t>
        </is>
      </c>
      <c r="L31" s="116">
        <f>VLOOKUP(A31,MATERIALES!$A:$D,4,0)</f>
        <v/>
      </c>
      <c r="M31" s="1">
        <f>L31*C31</f>
        <v/>
      </c>
      <c r="N31" s="11" t="n"/>
      <c r="Z31" s="34" t="n">
        <v>1800</v>
      </c>
      <c r="AA31" s="112">
        <f>$O$3</f>
        <v/>
      </c>
      <c r="AB31" s="112">
        <f>IF(AA31&lt;400,0,$O$3)</f>
        <v/>
      </c>
      <c r="AC31" s="34" t="n"/>
      <c r="AD31" s="112">
        <f>IF(AB31&lt;100,0,101)</f>
        <v/>
      </c>
      <c r="AE31" s="114">
        <f>Z32-AA31</f>
        <v/>
      </c>
      <c r="AF31" s="112">
        <f>100-AE31</f>
        <v/>
      </c>
      <c r="AG31" s="112">
        <f>AE31</f>
        <v/>
      </c>
      <c r="AH31" s="34" t="n"/>
      <c r="AI31" s="34" t="n"/>
    </row>
    <row r="32" ht="14.5" customHeight="1" thickBot="1">
      <c r="A32" s="118" t="n">
        <v>4000049</v>
      </c>
      <c r="B32" s="118" t="inlineStr">
        <is>
          <t>MENTA GRANIZADA 7,800 KG GRIDO</t>
        </is>
      </c>
      <c r="C32" s="10" t="n">
        <v>9</v>
      </c>
      <c r="D32" s="299" t="n"/>
      <c r="E32" s="96">
        <f>VLOOKUP(A32,MATERIALES!A526:D620,4,0)</f>
        <v/>
      </c>
      <c r="F32" s="97">
        <f>E32*C32</f>
        <v/>
      </c>
      <c r="G32" s="101">
        <f>F32*1.21</f>
        <v/>
      </c>
      <c r="H32" s="96">
        <f>VLOOKUP(A32,MATERIALES!$A:$E,5,0)</f>
        <v/>
      </c>
      <c r="I32" s="96">
        <f>C32*H32</f>
        <v/>
      </c>
      <c r="J32" s="300" t="n"/>
      <c r="K32" s="158" t="inlineStr">
        <is>
          <t xml:space="preserve">GRANEL </t>
        </is>
      </c>
      <c r="L32" s="116">
        <f>VLOOKUP(A32,MATERIALES!$A:$D,4,0)</f>
        <v/>
      </c>
      <c r="M32" s="1">
        <f>L32*C32</f>
        <v/>
      </c>
      <c r="N32" s="11" t="n"/>
      <c r="Z32" s="34" t="n">
        <v>1900</v>
      </c>
      <c r="AA32" s="112">
        <f>$O$3</f>
        <v/>
      </c>
      <c r="AB32" s="112">
        <f>IF(AA32&lt;400,0,$O$3)</f>
        <v/>
      </c>
      <c r="AC32" s="34" t="n"/>
      <c r="AD32" s="112">
        <f>IF(AB32&lt;100,0,101)</f>
        <v/>
      </c>
      <c r="AE32" s="114">
        <f>Z33-AA32</f>
        <v/>
      </c>
      <c r="AF32" s="112">
        <f>100-AE32</f>
        <v/>
      </c>
      <c r="AG32" s="112">
        <f>AE32</f>
        <v/>
      </c>
      <c r="AH32" s="34" t="n"/>
      <c r="AI32" s="34" t="n"/>
    </row>
    <row r="33" ht="15" customHeight="1" thickBot="1">
      <c r="A33" s="118" t="n">
        <v>4000039</v>
      </c>
      <c r="B33" s="118" t="inlineStr">
        <is>
          <t>NARANJA AL AGUA 12 7,800 KG GRIDO</t>
        </is>
      </c>
      <c r="C33" s="10" t="n">
        <v>1</v>
      </c>
      <c r="D33" s="299" t="n"/>
      <c r="E33" s="96">
        <f>VLOOKUP(A33,MATERIALES!A527:D621,4,0)</f>
        <v/>
      </c>
      <c r="F33" s="97">
        <f>E33*C33</f>
        <v/>
      </c>
      <c r="G33" s="101">
        <f>F33*1.21</f>
        <v/>
      </c>
      <c r="H33" s="96">
        <f>VLOOKUP(A33,MATERIALES!$A:$E,5,0)</f>
        <v/>
      </c>
      <c r="I33" s="96">
        <f>C33*H33</f>
        <v/>
      </c>
      <c r="J33" s="300" t="n"/>
      <c r="K33" s="158" t="inlineStr">
        <is>
          <t xml:space="preserve">GRANEL </t>
        </is>
      </c>
      <c r="L33" s="116">
        <f>VLOOKUP(A33,MATERIALES!$A:$D,4,0)</f>
        <v/>
      </c>
      <c r="M33" s="1">
        <f>L33*C33</f>
        <v/>
      </c>
      <c r="N33" s="11" t="n"/>
      <c r="Z33" s="34" t="n">
        <v>2000</v>
      </c>
      <c r="AA33" s="36" t="n"/>
      <c r="AB33" s="36" t="n"/>
      <c r="AC33" s="34" t="n"/>
      <c r="AD33" s="36" t="n"/>
      <c r="AE33" s="91" t="n"/>
      <c r="AF33" s="36" t="n"/>
      <c r="AG33" s="36" t="n"/>
      <c r="AH33" s="34" t="n"/>
      <c r="AI33" s="34" t="n"/>
    </row>
    <row r="34" ht="15" customHeight="1" thickBot="1">
      <c r="A34" s="118" t="n">
        <v>4000754</v>
      </c>
      <c r="B34" s="118" t="inlineStr">
        <is>
          <t>PISTACHO 7,800 KG GRIDO</t>
        </is>
      </c>
      <c r="C34" s="10" t="n">
        <v>0</v>
      </c>
      <c r="D34" s="299" t="n"/>
      <c r="E34" s="96">
        <f>VLOOKUP(A34,MATERIALES!A528:D622,4,0)</f>
        <v/>
      </c>
      <c r="F34" s="97">
        <f>E34*C34</f>
        <v/>
      </c>
      <c r="G34" s="101">
        <f>F34*1.21</f>
        <v/>
      </c>
      <c r="H34" s="96">
        <f>VLOOKUP(A34,MATERIALES!$A:$E,5,0)</f>
        <v/>
      </c>
      <c r="I34" s="96">
        <f>C34*H34</f>
        <v/>
      </c>
      <c r="J34" s="300" t="n"/>
      <c r="K34" s="158" t="inlineStr">
        <is>
          <t xml:space="preserve">GRANEL </t>
        </is>
      </c>
      <c r="L34" s="116">
        <f>VLOOKUP(A34,MATERIALES!$A:$D,4,0)</f>
        <v/>
      </c>
      <c r="M34" s="1">
        <f>L34*C34</f>
        <v/>
      </c>
      <c r="R34" s="8" t="n"/>
      <c r="Z34" s="34" t="n"/>
      <c r="AA34" s="112">
        <f>$O$3</f>
        <v/>
      </c>
      <c r="AB34" s="112">
        <f>IF(AA34&lt;400,0,$O$3)</f>
        <v/>
      </c>
      <c r="AC34" s="34" t="n"/>
      <c r="AD34" s="112">
        <f>IF(AB34&lt;100,0,101)</f>
        <v/>
      </c>
      <c r="AE34" s="114">
        <f>Z35-AA34</f>
        <v/>
      </c>
      <c r="AF34" s="112">
        <f>100-AE34</f>
        <v/>
      </c>
      <c r="AG34" s="112">
        <f>AE34</f>
        <v/>
      </c>
      <c r="AH34" s="34" t="n"/>
      <c r="AI34" s="34" t="n"/>
    </row>
    <row r="35" ht="14.5" customHeight="1" thickBot="1">
      <c r="A35" s="118" t="n">
        <v>4000065</v>
      </c>
      <c r="B35" s="118" t="inlineStr">
        <is>
          <t>SAMBAYON 7,800 KG GRIDO</t>
        </is>
      </c>
      <c r="C35" s="10" t="n">
        <v>0</v>
      </c>
      <c r="D35" s="299" t="n"/>
      <c r="E35" s="96">
        <f>VLOOKUP(A35,MATERIALES!A529:D623,4,0)</f>
        <v/>
      </c>
      <c r="F35" s="97">
        <f>E35*C35</f>
        <v/>
      </c>
      <c r="G35" s="101">
        <f>F35*1.21</f>
        <v/>
      </c>
      <c r="H35" s="96">
        <f>VLOOKUP(A35,MATERIALES!$A:$E,5,0)</f>
        <v/>
      </c>
      <c r="I35" s="96">
        <f>C35*H35</f>
        <v/>
      </c>
      <c r="J35" s="300" t="n"/>
      <c r="K35" s="158" t="inlineStr">
        <is>
          <t xml:space="preserve">GRANEL </t>
        </is>
      </c>
      <c r="L35" s="116">
        <f>VLOOKUP(A35,MATERIALES!$A:$D,4,0)</f>
        <v/>
      </c>
      <c r="M35" s="1">
        <f>L35*C35</f>
        <v/>
      </c>
      <c r="N35" s="11" t="n"/>
      <c r="Z35" s="34" t="n">
        <v>2100</v>
      </c>
      <c r="AA35" s="112">
        <f>$O$3</f>
        <v/>
      </c>
      <c r="AB35" s="112">
        <f>IF(AA35&lt;400,0,$O$3)</f>
        <v/>
      </c>
      <c r="AC35" s="34" t="n"/>
      <c r="AD35" s="112">
        <f>IF(AB35&lt;100,0,101)</f>
        <v/>
      </c>
      <c r="AE35" s="114">
        <f>Z36-AA35</f>
        <v/>
      </c>
      <c r="AF35" s="112">
        <f>100-AE35</f>
        <v/>
      </c>
      <c r="AG35" s="112">
        <f>AE35</f>
        <v/>
      </c>
      <c r="AH35" s="34" t="n"/>
      <c r="AI35" s="34" t="n"/>
    </row>
    <row r="36" ht="14.5" customHeight="1" thickBot="1">
      <c r="A36" s="118" t="n">
        <v>4000064</v>
      </c>
      <c r="B36" s="118" t="inlineStr">
        <is>
          <t>SUPER DULCE DE LECHE 7,800 KG GRIDO</t>
        </is>
      </c>
      <c r="C36" s="10" t="n">
        <v>7</v>
      </c>
      <c r="D36" s="299" t="n"/>
      <c r="E36" s="96">
        <f>VLOOKUP(A36,MATERIALES!A530:D624,4,0)</f>
        <v/>
      </c>
      <c r="F36" s="97">
        <f>E36*C36</f>
        <v/>
      </c>
      <c r="G36" s="101">
        <f>F36*1.21</f>
        <v/>
      </c>
      <c r="H36" s="96">
        <f>VLOOKUP(A36,MATERIALES!$A:$E,5,0)</f>
        <v/>
      </c>
      <c r="I36" s="96">
        <f>C36*H36</f>
        <v/>
      </c>
      <c r="J36" s="300" t="n"/>
      <c r="K36" s="158" t="inlineStr">
        <is>
          <t xml:space="preserve">GRANEL </t>
        </is>
      </c>
      <c r="L36" s="116">
        <f>VLOOKUP(A36,MATERIALES!$A:$D,4,0)</f>
        <v/>
      </c>
      <c r="M36" s="1">
        <f>L36*C36</f>
        <v/>
      </c>
      <c r="N36" s="11" t="n"/>
      <c r="Z36" s="34" t="n">
        <v>2200</v>
      </c>
      <c r="AA36" s="112">
        <f>$O$3</f>
        <v/>
      </c>
      <c r="AB36" s="112">
        <f>IF(AA36&lt;400,0,$O$3)</f>
        <v/>
      </c>
      <c r="AC36" s="34" t="n"/>
      <c r="AD36" s="112">
        <f>IF(AB36&lt;100,0,101)</f>
        <v/>
      </c>
      <c r="AE36" s="114">
        <f>Z37-AA36</f>
        <v/>
      </c>
      <c r="AF36" s="112">
        <f>100-AE36</f>
        <v/>
      </c>
      <c r="AG36" s="112">
        <f>AE36</f>
        <v/>
      </c>
      <c r="AH36" s="34" t="n"/>
      <c r="AI36" s="34" t="n"/>
    </row>
    <row r="37" ht="14.5" customHeight="1" thickBot="1">
      <c r="A37" s="118" t="n">
        <v>4000050</v>
      </c>
      <c r="B37" s="118" t="inlineStr">
        <is>
          <t>SUPER GRIDITO 7,800 KG GRIDO</t>
        </is>
      </c>
      <c r="C37" s="10" t="n">
        <v>4</v>
      </c>
      <c r="D37" s="299" t="n"/>
      <c r="E37" s="96">
        <f>VLOOKUP(A37,MATERIALES!A531:D625,4,0)</f>
        <v/>
      </c>
      <c r="F37" s="97">
        <f>E37*C37</f>
        <v/>
      </c>
      <c r="G37" s="101">
        <f>F37*1.21</f>
        <v/>
      </c>
      <c r="H37" s="96">
        <f>VLOOKUP(A37,MATERIALES!$A:$E,5,0)</f>
        <v/>
      </c>
      <c r="I37" s="96">
        <f>C37*H37</f>
        <v/>
      </c>
      <c r="J37" s="300" t="n"/>
      <c r="K37" s="158" t="inlineStr">
        <is>
          <t xml:space="preserve">GRANEL </t>
        </is>
      </c>
      <c r="L37" s="116">
        <f>VLOOKUP(A37,MATERIALES!$A:$D,4,0)</f>
        <v/>
      </c>
      <c r="M37" s="1">
        <f>L37*C37</f>
        <v/>
      </c>
      <c r="N37" s="11" t="n"/>
      <c r="Z37" s="34" t="n">
        <v>2300</v>
      </c>
      <c r="AA37" s="112">
        <f>$O$3</f>
        <v/>
      </c>
      <c r="AB37" s="112">
        <f>IF(AA37&lt;400,0,$O$3)</f>
        <v/>
      </c>
      <c r="AC37" s="34" t="n"/>
      <c r="AD37" s="112">
        <f>IF(AB37&lt;100,0,101)</f>
        <v/>
      </c>
      <c r="AE37" s="114">
        <f>Z38-AA37</f>
        <v/>
      </c>
      <c r="AF37" s="112">
        <f>100-AE37</f>
        <v/>
      </c>
      <c r="AG37" s="112">
        <f>AE37</f>
        <v/>
      </c>
      <c r="AH37" s="34" t="n"/>
      <c r="AI37" s="34" t="n"/>
    </row>
    <row r="38" ht="14.5" customHeight="1" thickBot="1">
      <c r="A38" s="118" t="n">
        <v>4000071</v>
      </c>
      <c r="B38" s="118" t="inlineStr">
        <is>
          <t>TIRAMISU 7,800 KG GRIDO</t>
        </is>
      </c>
      <c r="C38" s="10" t="n">
        <v>0</v>
      </c>
      <c r="D38" s="299" t="n"/>
      <c r="E38" s="96">
        <f>VLOOKUP(A38,MATERIALES!A532:D626,4,0)</f>
        <v/>
      </c>
      <c r="F38" s="97">
        <f>E38*C38</f>
        <v/>
      </c>
      <c r="G38" s="101">
        <f>F38*1.21</f>
        <v/>
      </c>
      <c r="H38" s="96">
        <f>VLOOKUP(A38,MATERIALES!$A:$E,5,0)</f>
        <v/>
      </c>
      <c r="I38" s="96">
        <f>C38*H38</f>
        <v/>
      </c>
      <c r="J38" s="300" t="n"/>
      <c r="K38" s="158" t="inlineStr">
        <is>
          <t xml:space="preserve">GRANEL </t>
        </is>
      </c>
      <c r="L38" s="116">
        <f>VLOOKUP(A38,MATERIALES!$A:$D,4,0)</f>
        <v/>
      </c>
      <c r="M38" s="1">
        <f>L38*C38</f>
        <v/>
      </c>
      <c r="N38" s="11" t="n"/>
      <c r="Z38" s="34" t="n">
        <v>2400</v>
      </c>
      <c r="AA38" s="112">
        <f>$O$3</f>
        <v/>
      </c>
      <c r="AB38" s="112">
        <f>IF(AA38&lt;400,0,$O$3)</f>
        <v/>
      </c>
      <c r="AC38" s="34" t="n"/>
      <c r="AD38" s="112">
        <f>IF(AB38&lt;100,0,101)</f>
        <v/>
      </c>
      <c r="AE38" s="114">
        <f>Z39-AA38</f>
        <v/>
      </c>
      <c r="AF38" s="112">
        <f>100-AE38</f>
        <v/>
      </c>
      <c r="AG38" s="112">
        <f>AE38</f>
        <v/>
      </c>
      <c r="AH38" s="34" t="n"/>
      <c r="AI38" s="34" t="n"/>
    </row>
    <row r="39" ht="14.5" customHeight="1" thickBot="1">
      <c r="A39" s="118" t="n">
        <v>4000055</v>
      </c>
      <c r="B39" s="118" t="inlineStr">
        <is>
          <t>TRAMONTANA 7,800 KG GRIDO</t>
        </is>
      </c>
      <c r="C39" s="10" t="n">
        <v>14</v>
      </c>
      <c r="D39" s="299" t="n"/>
      <c r="E39" s="96">
        <f>VLOOKUP(A39,MATERIALES!A533:D627,4,0)</f>
        <v/>
      </c>
      <c r="F39" s="97">
        <f>E39*C39</f>
        <v/>
      </c>
      <c r="G39" s="101">
        <f>F39*1.21</f>
        <v/>
      </c>
      <c r="H39" s="96">
        <f>VLOOKUP(A39,MATERIALES!$A:$E,5,0)</f>
        <v/>
      </c>
      <c r="I39" s="96">
        <f>C39*H39</f>
        <v/>
      </c>
      <c r="J39" s="300" t="n"/>
      <c r="K39" s="158" t="inlineStr">
        <is>
          <t xml:space="preserve">GRANEL </t>
        </is>
      </c>
      <c r="L39" s="116">
        <f>VLOOKUP(A39,MATERIALES!$A:$D,4,0)</f>
        <v/>
      </c>
      <c r="M39" s="1">
        <f>L39*C39</f>
        <v/>
      </c>
      <c r="N39" s="11" t="n"/>
      <c r="Z39" s="34" t="n">
        <v>2500</v>
      </c>
      <c r="AA39" s="112">
        <f>$O$3</f>
        <v/>
      </c>
      <c r="AB39" s="112">
        <f>IF(AA39&lt;400,0,$O$3)</f>
        <v/>
      </c>
      <c r="AC39" s="34" t="n"/>
      <c r="AD39" s="112">
        <f>IF(AB39&lt;100,0,101)</f>
        <v/>
      </c>
      <c r="AE39" s="114">
        <f>Z40-AA39</f>
        <v/>
      </c>
      <c r="AF39" s="112">
        <f>100-AE39</f>
        <v/>
      </c>
      <c r="AG39" s="112">
        <f>AE39</f>
        <v/>
      </c>
      <c r="AH39" s="34" t="n"/>
      <c r="AI39" s="34" t="n"/>
    </row>
    <row r="40" ht="15" customHeight="1" thickBot="1">
      <c r="A40" s="119" t="n">
        <v>4000044</v>
      </c>
      <c r="B40" s="119" t="inlineStr">
        <is>
          <t>VAINILLA 7,800 KG GRIDO</t>
        </is>
      </c>
      <c r="C40" s="10" t="n">
        <v>10</v>
      </c>
      <c r="D40" s="299" t="n"/>
      <c r="E40" s="96" t="n">
        <v>0.85</v>
      </c>
      <c r="F40" s="97">
        <f>E40*C40</f>
        <v/>
      </c>
      <c r="G40" s="159">
        <f>F40*1.21</f>
        <v/>
      </c>
      <c r="H40" s="160">
        <f>VLOOKUP(A40,MATERIALES!$A:$E,5,0)</f>
        <v/>
      </c>
      <c r="I40" s="160">
        <f>C40*H40</f>
        <v/>
      </c>
      <c r="J40" s="300" t="n"/>
      <c r="K40" s="161" t="inlineStr">
        <is>
          <t xml:space="preserve">GRANEL </t>
        </is>
      </c>
      <c r="L40" s="116">
        <f>VLOOKUP(A40,MATERIALES!$A:$D,4,0)</f>
        <v/>
      </c>
      <c r="M40" s="1">
        <f>L40*C40</f>
        <v/>
      </c>
      <c r="N40" s="11" t="n"/>
      <c r="Z40" s="34" t="n">
        <v>2600</v>
      </c>
      <c r="AA40" s="112">
        <f>$O$3</f>
        <v/>
      </c>
      <c r="AB40" s="112">
        <f>IF(AA40&lt;400,0,$O$3)</f>
        <v/>
      </c>
      <c r="AC40" s="34" t="n"/>
      <c r="AD40" s="112">
        <f>IF(AB40&lt;100,0,101)</f>
        <v/>
      </c>
      <c r="AE40" s="114">
        <f>Z41-AA40</f>
        <v/>
      </c>
      <c r="AF40" s="112">
        <f>100-AE40</f>
        <v/>
      </c>
      <c r="AG40" s="112">
        <f>AE40</f>
        <v/>
      </c>
      <c r="AH40" s="34" t="n"/>
      <c r="AI40" s="34" t="n"/>
    </row>
    <row r="41" ht="16" customHeight="1" thickBot="1">
      <c r="A41" s="120" t="n">
        <v>4000163</v>
      </c>
      <c r="B41" s="121" t="inlineStr">
        <is>
          <t>PACK X6 GRIDO FAMILIAR X3LTS NRO 1 GRIDO</t>
        </is>
      </c>
      <c r="C41" s="10" t="n">
        <v>7</v>
      </c>
      <c r="D41" s="319">
        <f>SUM(C41:C44)</f>
        <v/>
      </c>
      <c r="E41" s="96">
        <f>VLOOKUP(A41,MATERIALES!A535:D629,4,0)</f>
        <v/>
      </c>
      <c r="F41" s="97">
        <f>E41*C41</f>
        <v/>
      </c>
      <c r="G41" s="98">
        <f>F41*1.21</f>
        <v/>
      </c>
      <c r="H41" s="99">
        <f>VLOOKUP(A41,MATERIALES!$A:$E,5,0)</f>
        <v/>
      </c>
      <c r="I41" s="100">
        <f>C41*H41</f>
        <v/>
      </c>
      <c r="J41" s="320" t="n">
        <v>15</v>
      </c>
      <c r="K41" s="163" t="inlineStr">
        <is>
          <t xml:space="preserve">POTES 3L </t>
        </is>
      </c>
      <c r="L41" s="117">
        <f>VLOOKUP(A41,MATERIALES!$A:$D,4,0)</f>
        <v/>
      </c>
      <c r="M41" s="1">
        <f>L41*C41</f>
        <v/>
      </c>
      <c r="N41" s="11" t="n"/>
      <c r="Z41" s="34" t="n">
        <v>2700</v>
      </c>
      <c r="AA41" s="112">
        <f>$O$3</f>
        <v/>
      </c>
      <c r="AB41" s="112">
        <f>IF(AA41&lt;400,0,$O$3)</f>
        <v/>
      </c>
      <c r="AC41" s="34" t="n"/>
      <c r="AD41" s="112">
        <f>IF(AB41&lt;100,0,101)</f>
        <v/>
      </c>
      <c r="AE41" s="114">
        <f>Z42-AA41</f>
        <v/>
      </c>
      <c r="AF41" s="112">
        <f>100-AE41</f>
        <v/>
      </c>
      <c r="AG41" s="112">
        <f>AE41</f>
        <v/>
      </c>
      <c r="AH41" s="34" t="n"/>
      <c r="AI41" s="34" t="n"/>
    </row>
    <row r="42" ht="16" customHeight="1" thickBot="1">
      <c r="A42" s="122" t="n">
        <v>4000164</v>
      </c>
      <c r="B42" s="123" t="inlineStr">
        <is>
          <t>PACK X 6 GRIDO FAMILIAR X3 LTS N2 GRIDO</t>
        </is>
      </c>
      <c r="C42" s="10" t="n">
        <v>12</v>
      </c>
      <c r="D42" s="299" t="n"/>
      <c r="E42" s="96">
        <f>VLOOKUP(A42,MATERIALES!A536:D630,4,0)</f>
        <v/>
      </c>
      <c r="F42" s="97">
        <f>E42*C42</f>
        <v/>
      </c>
      <c r="G42" s="101">
        <f>F42*1.21</f>
        <v/>
      </c>
      <c r="H42" s="96">
        <f>VLOOKUP(A42,MATERIALES!$A:$E,5,0)</f>
        <v/>
      </c>
      <c r="I42" s="102">
        <f>C42*H42</f>
        <v/>
      </c>
      <c r="J42" s="299" t="n"/>
      <c r="K42" s="164" t="inlineStr">
        <is>
          <t xml:space="preserve">POTES 3L </t>
        </is>
      </c>
      <c r="L42" s="117">
        <f>VLOOKUP(A42,MATERIALES!$A:$D,4,0)</f>
        <v/>
      </c>
      <c r="M42" s="1">
        <f>L42*C42</f>
        <v/>
      </c>
      <c r="N42" s="11" t="n"/>
      <c r="Z42" s="34" t="n">
        <v>2800</v>
      </c>
    </row>
    <row r="43" ht="16" customHeight="1" thickBot="1">
      <c r="A43" s="122" t="n">
        <v>4000165</v>
      </c>
      <c r="B43" s="123" t="inlineStr">
        <is>
          <t>PACK X6 GRIDO FAMILIAR X 3LTS NRO3 GRIDO</t>
        </is>
      </c>
      <c r="C43" s="10" t="n">
        <v>7</v>
      </c>
      <c r="D43" s="299" t="n"/>
      <c r="E43" s="96">
        <f>VLOOKUP(A43,MATERIALES!A537:D631,4,0)</f>
        <v/>
      </c>
      <c r="F43" s="97">
        <f>E43*C43</f>
        <v/>
      </c>
      <c r="G43" s="101">
        <f>F43*1.21</f>
        <v/>
      </c>
      <c r="H43" s="96">
        <f>VLOOKUP(A43,MATERIALES!$A:$E,5,0)</f>
        <v/>
      </c>
      <c r="I43" s="102">
        <f>C43*H43</f>
        <v/>
      </c>
      <c r="J43" s="299" t="n"/>
      <c r="K43" s="164" t="inlineStr">
        <is>
          <t xml:space="preserve">POTES 3L </t>
        </is>
      </c>
      <c r="L43" s="117">
        <f>VLOOKUP(A43,MATERIALES!$A:$D,4,0)</f>
        <v/>
      </c>
      <c r="M43" s="1">
        <f>L43*C43</f>
        <v/>
      </c>
      <c r="N43" s="11" t="n"/>
    </row>
    <row r="44" ht="16" customHeight="1" thickBot="1">
      <c r="A44" s="124" t="n">
        <v>4000166</v>
      </c>
      <c r="B44" s="125" t="inlineStr">
        <is>
          <t>PACKX 6 GRIDO FAMILIAR X3 LTS N4  GRIDO</t>
        </is>
      </c>
      <c r="C44" s="10" t="n">
        <v>10</v>
      </c>
      <c r="D44" s="312" t="n"/>
      <c r="E44" s="96">
        <f>VLOOKUP(A44,MATERIALES!A538:D632,4,0)</f>
        <v/>
      </c>
      <c r="F44" s="97">
        <f>E44*C44</f>
        <v/>
      </c>
      <c r="G44" s="103">
        <f>F44*1.21</f>
        <v/>
      </c>
      <c r="H44" s="104">
        <f>VLOOKUP(A44,MATERIALES!$A:$E,5,0)</f>
        <v/>
      </c>
      <c r="I44" s="105">
        <f>C44*H44</f>
        <v/>
      </c>
      <c r="J44" s="312" t="n"/>
      <c r="K44" s="165" t="inlineStr">
        <is>
          <t xml:space="preserve">POTES 3L </t>
        </is>
      </c>
      <c r="L44" s="117">
        <f>VLOOKUP(A44,MATERIALES!$A:$D,4,0)</f>
        <v/>
      </c>
      <c r="M44" s="1">
        <f>L44*C44</f>
        <v/>
      </c>
      <c r="N44" s="11" t="n"/>
    </row>
    <row r="45" ht="16" customHeight="1" thickBot="1">
      <c r="A45" s="126" t="n">
        <v>4000835</v>
      </c>
      <c r="B45" s="127" t="inlineStr">
        <is>
          <t>PACK X 6 TORTA COOKIES AND CREAM GR</t>
        </is>
      </c>
      <c r="C45" s="10" t="n">
        <v>12</v>
      </c>
      <c r="D45" s="319">
        <f>SUM(C45:C48)</f>
        <v/>
      </c>
      <c r="E45" s="96">
        <f>VLOOKUP(A45,MATERIALES!A539:D633,4,0)</f>
        <v/>
      </c>
      <c r="F45" s="97">
        <f>E45*C45</f>
        <v/>
      </c>
      <c r="G45" s="98">
        <f>F45*1.21</f>
        <v/>
      </c>
      <c r="H45" s="99">
        <f>VLOOKUP(A45,MATERIALES!$A:$E,5,0)</f>
        <v/>
      </c>
      <c r="I45" s="100">
        <f>C45*H45</f>
        <v/>
      </c>
      <c r="J45" s="320" t="n">
        <v>10</v>
      </c>
      <c r="K45" s="166" t="inlineStr">
        <is>
          <t xml:space="preserve">TORTAS </t>
        </is>
      </c>
      <c r="L45" s="117">
        <f>VLOOKUP(A45,MATERIALES!$A:$D,4,0)</f>
        <v/>
      </c>
      <c r="M45" s="1">
        <f>L45*C45</f>
        <v/>
      </c>
      <c r="N45" s="11" t="n"/>
    </row>
    <row r="46" ht="16" customHeight="1" thickBot="1">
      <c r="A46" s="128" t="n">
        <v>4000446</v>
      </c>
      <c r="B46" s="129" t="inlineStr">
        <is>
          <t>PACK x 6 TORTA GRIDO C/RELLENO</t>
        </is>
      </c>
      <c r="C46" s="10" t="n">
        <v>13</v>
      </c>
      <c r="D46" s="299" t="n"/>
      <c r="E46" s="96">
        <f>VLOOKUP(A46,MATERIALES!A540:D634,4,0)</f>
        <v/>
      </c>
      <c r="F46" s="97">
        <f>E46*C46</f>
        <v/>
      </c>
      <c r="G46" s="101">
        <f>F46*1.21</f>
        <v/>
      </c>
      <c r="H46" s="96">
        <f>VLOOKUP(A46,MATERIALES!$A:$E,5,0)</f>
        <v/>
      </c>
      <c r="I46" s="102">
        <f>C46*H46</f>
        <v/>
      </c>
      <c r="J46" s="299" t="n"/>
      <c r="K46" s="167" t="inlineStr">
        <is>
          <t xml:space="preserve">TORTAS </t>
        </is>
      </c>
      <c r="L46" s="117">
        <f>VLOOKUP(A46,MATERIALES!$A:$D,4,0)</f>
        <v/>
      </c>
      <c r="M46" s="1">
        <f>L46*C46</f>
        <v/>
      </c>
      <c r="N46" s="11" t="n"/>
    </row>
    <row r="47" ht="16" customHeight="1" thickBot="1">
      <c r="A47" s="223" t="n">
        <v>4000892</v>
      </c>
      <c r="B47" s="224" t="inlineStr">
        <is>
          <t>PACK X 6 TORTA FRUTILLA GR</t>
        </is>
      </c>
      <c r="C47" s="10" t="n">
        <v>11</v>
      </c>
      <c r="D47" s="299" t="n"/>
      <c r="E47" s="96" t="n">
        <v>1.25</v>
      </c>
      <c r="F47" s="97">
        <f>E47*C47</f>
        <v/>
      </c>
      <c r="G47" s="159" t="n"/>
      <c r="H47" s="160" t="n">
        <v>6.27</v>
      </c>
      <c r="I47" s="225" t="n"/>
      <c r="J47" s="299" t="n"/>
      <c r="K47" s="167" t="inlineStr">
        <is>
          <t xml:space="preserve">TORTAS </t>
        </is>
      </c>
      <c r="L47" s="117" t="n">
        <v>1.2</v>
      </c>
      <c r="M47" s="1">
        <f>L47*C47</f>
        <v/>
      </c>
      <c r="N47" s="11" t="n"/>
    </row>
    <row r="48" ht="16" customHeight="1" thickBot="1">
      <c r="A48" s="130" t="n">
        <v>4000843</v>
      </c>
      <c r="B48" s="131" t="inlineStr">
        <is>
          <t>PACK X 6 TORTA COOKIES MOUSSE GR</t>
        </is>
      </c>
      <c r="C48" s="10" t="n">
        <v>0</v>
      </c>
      <c r="D48" s="312" t="n"/>
      <c r="E48" s="96">
        <f>VLOOKUP(A48,MATERIALES!A541:D635,4,0)</f>
        <v/>
      </c>
      <c r="F48" s="97">
        <f>E48*C48</f>
        <v/>
      </c>
      <c r="G48" s="103">
        <f>F48*1.21</f>
        <v/>
      </c>
      <c r="H48" s="104">
        <f>VLOOKUP(A48,MATERIALES!$A:$E,5,0)</f>
        <v/>
      </c>
      <c r="I48" s="105">
        <f>C48*H48</f>
        <v/>
      </c>
      <c r="J48" s="312" t="n"/>
      <c r="K48" s="168" t="inlineStr">
        <is>
          <t xml:space="preserve">TORTAS </t>
        </is>
      </c>
      <c r="L48" s="117">
        <f>VLOOKUP(A48,MATERIALES!$A:$D,4,0)</f>
        <v/>
      </c>
      <c r="M48" s="1">
        <f>L48*C48</f>
        <v/>
      </c>
      <c r="N48" s="11" t="n"/>
    </row>
    <row r="49" ht="14.5" customHeight="1" thickBot="1">
      <c r="A49" s="132" t="n">
        <v>4000152</v>
      </c>
      <c r="B49" s="133" t="inlineStr">
        <is>
          <t>PACK X 6 POTE X 1LT GRANIZADO GRIDO</t>
        </is>
      </c>
      <c r="C49" s="10" t="n">
        <v>9</v>
      </c>
      <c r="D49" s="319">
        <f>SUM(C49:C60)</f>
        <v/>
      </c>
      <c r="E49" s="96">
        <f>VLOOKUP(A49,MATERIALES!A542:D636,4,0)</f>
        <v/>
      </c>
      <c r="F49" s="97">
        <f>E49*C49</f>
        <v/>
      </c>
      <c r="G49" s="98">
        <f>F49*1.21</f>
        <v/>
      </c>
      <c r="H49" s="99">
        <f>VLOOKUP(A49,MATERIALES!$A:$E,5,0)</f>
        <v/>
      </c>
      <c r="I49" s="100">
        <f>C49*H49</f>
        <v/>
      </c>
      <c r="J49" s="320" t="n">
        <v>15</v>
      </c>
      <c r="K49" s="169" t="inlineStr">
        <is>
          <t>TENTACION</t>
        </is>
      </c>
      <c r="L49" s="37" t="n">
        <v>0.51</v>
      </c>
      <c r="M49" s="1">
        <f>L49*C49</f>
        <v/>
      </c>
      <c r="N49" s="11" t="n"/>
    </row>
    <row r="50" ht="14.5" customHeight="1" thickBot="1">
      <c r="A50" s="134" t="n">
        <v>4000153</v>
      </c>
      <c r="B50" s="135" t="inlineStr">
        <is>
          <t>PACKX6 POTE X 1LT D.LECHE GRANIZ GRIDO</t>
        </is>
      </c>
      <c r="C50" s="10" t="n">
        <v>12</v>
      </c>
      <c r="D50" s="299" t="n"/>
      <c r="E50" s="96">
        <f>VLOOKUP(A50,MATERIALES!A543:D637,4,0)</f>
        <v/>
      </c>
      <c r="F50" s="97">
        <f>E50*C50</f>
        <v/>
      </c>
      <c r="G50" s="101">
        <f>F50*1.21</f>
        <v/>
      </c>
      <c r="H50" s="96">
        <f>VLOOKUP(A50,MATERIALES!$A:$E,5,0)</f>
        <v/>
      </c>
      <c r="I50" s="102">
        <f>C50*H50</f>
        <v/>
      </c>
      <c r="J50" s="299" t="n"/>
      <c r="K50" s="170" t="inlineStr">
        <is>
          <t>TENTACION</t>
        </is>
      </c>
      <c r="L50" s="37" t="n">
        <v>0.51</v>
      </c>
      <c r="M50" s="1">
        <f>L50*C50</f>
        <v/>
      </c>
      <c r="N50" s="11" t="n"/>
    </row>
    <row r="51" ht="14.5" customHeight="1" thickBot="1">
      <c r="A51" s="134" t="n">
        <v>4000155</v>
      </c>
      <c r="B51" s="135" t="inlineStr">
        <is>
          <t>PACKX 6 POTE X1LT CHOC C/ALMENDRAS GRIDO</t>
        </is>
      </c>
      <c r="C51" s="10" t="n">
        <v>6</v>
      </c>
      <c r="D51" s="299" t="n"/>
      <c r="E51" s="96">
        <f>VLOOKUP(A51,MATERIALES!A544:D638,4,0)</f>
        <v/>
      </c>
      <c r="F51" s="97">
        <f>E51*C51</f>
        <v/>
      </c>
      <c r="G51" s="101">
        <f>F51*1.21</f>
        <v/>
      </c>
      <c r="H51" s="96">
        <f>VLOOKUP(A51,MATERIALES!$A:$E,5,0)</f>
        <v/>
      </c>
      <c r="I51" s="102">
        <f>C51*H51</f>
        <v/>
      </c>
      <c r="J51" s="299" t="n"/>
      <c r="K51" s="170" t="inlineStr">
        <is>
          <t>TENTACION</t>
        </is>
      </c>
      <c r="L51" s="37" t="n">
        <v>0.51</v>
      </c>
      <c r="M51" s="1">
        <f>L51*C51</f>
        <v/>
      </c>
      <c r="N51" s="11" t="n"/>
    </row>
    <row r="52" ht="14.5" customHeight="1" thickBot="1">
      <c r="A52" s="134" t="n">
        <v>4000156</v>
      </c>
      <c r="B52" s="135" t="inlineStr">
        <is>
          <t>PACK X 6 POTE X 1 LT NRO 6 LIMON - GRIDO</t>
        </is>
      </c>
      <c r="C52" s="10" t="n">
        <v>0</v>
      </c>
      <c r="D52" s="299" t="n"/>
      <c r="E52" s="96">
        <f>VLOOKUP(A52,MATERIALES!A545:D639,4,0)</f>
        <v/>
      </c>
      <c r="F52" s="97">
        <f>E52*C52</f>
        <v/>
      </c>
      <c r="G52" s="101">
        <f>F52*1.21</f>
        <v/>
      </c>
      <c r="H52" s="96">
        <f>VLOOKUP(A52,MATERIALES!$A:$E,5,0)</f>
        <v/>
      </c>
      <c r="I52" s="102">
        <f>C52*H52</f>
        <v/>
      </c>
      <c r="J52" s="299" t="n"/>
      <c r="K52" s="170" t="inlineStr">
        <is>
          <t>TENTACION</t>
        </is>
      </c>
      <c r="L52" s="37" t="n">
        <v>0.51</v>
      </c>
      <c r="M52" s="1">
        <f>L52*C52</f>
        <v/>
      </c>
      <c r="N52" s="11" t="n"/>
    </row>
    <row r="53" ht="15" customHeight="1" thickBot="1">
      <c r="A53" s="134" t="n">
        <v>4000157</v>
      </c>
      <c r="B53" s="135" t="inlineStr">
        <is>
          <t>PACK X 6 POTE X 1LT CREMA COOKIE - GRIDO</t>
        </is>
      </c>
      <c r="C53" s="10" t="n">
        <v>5</v>
      </c>
      <c r="D53" s="299" t="n"/>
      <c r="E53" s="96">
        <f>VLOOKUP(A53,MATERIALES!A546:D640,4,0)</f>
        <v/>
      </c>
      <c r="F53" s="97">
        <f>E53*C53</f>
        <v/>
      </c>
      <c r="G53" s="101">
        <f>F53*1.21</f>
        <v/>
      </c>
      <c r="H53" s="96">
        <f>VLOOKUP(A53,MATERIALES!$A:$E,5,0)</f>
        <v/>
      </c>
      <c r="I53" s="102">
        <f>C53*H53</f>
        <v/>
      </c>
      <c r="J53" s="299" t="n"/>
      <c r="K53" s="170" t="inlineStr">
        <is>
          <t>TENTACION</t>
        </is>
      </c>
      <c r="L53" s="37" t="n">
        <v>0.51</v>
      </c>
      <c r="M53" s="1">
        <f>L53*C53</f>
        <v/>
      </c>
      <c r="N53" s="11" t="n"/>
    </row>
    <row r="54" ht="14.5" customHeight="1" thickBot="1">
      <c r="A54" s="134" t="n">
        <v>4000158</v>
      </c>
      <c r="B54" s="135" t="inlineStr">
        <is>
          <t>PACK X 6 POTE X 1 LT CHOCOLATE GRIDO</t>
        </is>
      </c>
      <c r="C54" s="10" t="n">
        <v>5</v>
      </c>
      <c r="D54" s="299" t="n"/>
      <c r="E54" s="96">
        <f>VLOOKUP(A54,MATERIALES!A547:D641,4,0)</f>
        <v/>
      </c>
      <c r="F54" s="97">
        <f>E54*C54</f>
        <v/>
      </c>
      <c r="G54" s="101">
        <f>F54*1.21</f>
        <v/>
      </c>
      <c r="H54" s="96">
        <f>VLOOKUP(A54,MATERIALES!$A:$E,5,0)</f>
        <v/>
      </c>
      <c r="I54" s="102">
        <f>C54*H54</f>
        <v/>
      </c>
      <c r="J54" s="299" t="n"/>
      <c r="K54" s="170" t="inlineStr">
        <is>
          <t>TENTACION</t>
        </is>
      </c>
      <c r="L54" s="37" t="n">
        <v>0.51</v>
      </c>
      <c r="M54" s="1">
        <f>L54*C54</f>
        <v/>
      </c>
      <c r="N54" s="11" t="n"/>
    </row>
    <row r="55" ht="14.5" customHeight="1" thickBot="1">
      <c r="A55" s="134" t="n">
        <v>4000159</v>
      </c>
      <c r="B55" s="135" t="inlineStr">
        <is>
          <t>PACK X 6 POTE X 1 LT NRO 9 DDL - GRIDO</t>
        </is>
      </c>
      <c r="C55" s="10" t="n">
        <v>6</v>
      </c>
      <c r="D55" s="299" t="n"/>
      <c r="E55" s="96">
        <f>VLOOKUP(A55,MATERIALES!A548:D642,4,0)</f>
        <v/>
      </c>
      <c r="F55" s="97">
        <f>E55*C55</f>
        <v/>
      </c>
      <c r="G55" s="101">
        <f>F55*1.21</f>
        <v/>
      </c>
      <c r="H55" s="96">
        <f>VLOOKUP(A55,MATERIALES!$A:$E,5,0)</f>
        <v/>
      </c>
      <c r="I55" s="102">
        <f>C55*H55</f>
        <v/>
      </c>
      <c r="J55" s="299" t="n"/>
      <c r="K55" s="170" t="inlineStr">
        <is>
          <t>TENTACION</t>
        </is>
      </c>
      <c r="L55" s="37" t="n">
        <v>0.51</v>
      </c>
      <c r="M55" s="1">
        <f>L55*C55</f>
        <v/>
      </c>
      <c r="N55" s="11" t="n"/>
    </row>
    <row r="56" ht="15" customHeight="1" thickBot="1">
      <c r="A56" s="134" t="n">
        <v>4000160</v>
      </c>
      <c r="B56" s="135" t="inlineStr">
        <is>
          <t>PACK X 6 POTE X 1 LT FRUTILLA - GRIDO</t>
        </is>
      </c>
      <c r="C56" s="10" t="n">
        <v>5</v>
      </c>
      <c r="D56" s="299" t="n"/>
      <c r="E56" s="96">
        <f>VLOOKUP(A56,MATERIALES!A549:D643,4,0)</f>
        <v/>
      </c>
      <c r="F56" s="97">
        <f>E56*C56</f>
        <v/>
      </c>
      <c r="G56" s="101">
        <f>F56*1.21</f>
        <v/>
      </c>
      <c r="H56" s="96">
        <f>VLOOKUP(A56,MATERIALES!$A:$E,5,0)</f>
        <v/>
      </c>
      <c r="I56" s="102">
        <f>C56*H56</f>
        <v/>
      </c>
      <c r="J56" s="299" t="n"/>
      <c r="K56" s="170" t="inlineStr">
        <is>
          <t>TENTACION</t>
        </is>
      </c>
      <c r="L56" s="37" t="n">
        <v>0.51</v>
      </c>
      <c r="M56" s="1">
        <f>L56*C56</f>
        <v/>
      </c>
      <c r="N56" s="11" t="n"/>
    </row>
    <row r="57" ht="14.5" customHeight="1" thickBot="1">
      <c r="A57" s="134" t="n">
        <v>4000161</v>
      </c>
      <c r="B57" s="135" t="inlineStr">
        <is>
          <t>PACK X 6 POTE X 1 LT  VAINILLA - GRIDO</t>
        </is>
      </c>
      <c r="C57" s="10" t="n">
        <v>5</v>
      </c>
      <c r="D57" s="299" t="n"/>
      <c r="E57" s="96">
        <f>VLOOKUP(A57,MATERIALES!A550:D644,4,0)</f>
        <v/>
      </c>
      <c r="F57" s="97">
        <f>E57*C57</f>
        <v/>
      </c>
      <c r="G57" s="101">
        <f>F57*1.21</f>
        <v/>
      </c>
      <c r="H57" s="96">
        <f>VLOOKUP(A57,MATERIALES!$A:$E,5,0)</f>
        <v/>
      </c>
      <c r="I57" s="102">
        <f>C57*H57</f>
        <v/>
      </c>
      <c r="J57" s="299" t="n"/>
      <c r="K57" s="170" t="inlineStr">
        <is>
          <t>TENTACION</t>
        </is>
      </c>
      <c r="L57" s="37" t="n">
        <v>0.51</v>
      </c>
      <c r="M57" s="1">
        <f>L57*C57</f>
        <v/>
      </c>
      <c r="N57" s="11" t="n"/>
    </row>
    <row r="58" ht="14.5" customHeight="1" thickBot="1">
      <c r="A58" s="134" t="n">
        <v>4000162</v>
      </c>
      <c r="B58" s="135" t="inlineStr">
        <is>
          <t>PACK X6 POTE X 1LT CREMA AMERICANA GRIDO</t>
        </is>
      </c>
      <c r="C58" s="10" t="n">
        <v>6</v>
      </c>
      <c r="D58" s="299" t="n"/>
      <c r="E58" s="96">
        <f>VLOOKUP(A58,MATERIALES!A551:D645,4,0)</f>
        <v/>
      </c>
      <c r="F58" s="97">
        <f>E58*C58</f>
        <v/>
      </c>
      <c r="G58" s="101">
        <f>F58*1.21</f>
        <v/>
      </c>
      <c r="H58" s="96">
        <f>VLOOKUP(A58,MATERIALES!$A:$E,5,0)</f>
        <v/>
      </c>
      <c r="I58" s="102">
        <f>C58*H58</f>
        <v/>
      </c>
      <c r="J58" s="299" t="n"/>
      <c r="K58" s="170" t="inlineStr">
        <is>
          <t>TENTACION</t>
        </is>
      </c>
      <c r="L58" s="37" t="n">
        <v>0.51</v>
      </c>
      <c r="M58" s="1">
        <f>L58*C58</f>
        <v/>
      </c>
      <c r="N58" s="11" t="n"/>
    </row>
    <row r="59" ht="15" customHeight="1" thickBot="1">
      <c r="A59" s="134" t="n">
        <v>4000341</v>
      </c>
      <c r="B59" s="135" t="inlineStr">
        <is>
          <t>PACK 6 POTES X 1 LT GALLETITA TODDY -GRI</t>
        </is>
      </c>
      <c r="C59" s="10" t="n">
        <v>6</v>
      </c>
      <c r="D59" s="299" t="n"/>
      <c r="E59" s="96">
        <f>VLOOKUP(A59,MATERIALES!A552:D646,4,0)</f>
        <v/>
      </c>
      <c r="F59" s="97">
        <f>E59*C59</f>
        <v/>
      </c>
      <c r="G59" s="101">
        <f>F59*1.21</f>
        <v/>
      </c>
      <c r="H59" s="96">
        <f>VLOOKUP(A59,MATERIALES!$A:$E,5,0)</f>
        <v/>
      </c>
      <c r="I59" s="102">
        <f>C59*H59</f>
        <v/>
      </c>
      <c r="J59" s="299" t="n"/>
      <c r="K59" s="170" t="inlineStr">
        <is>
          <t>TENTACION</t>
        </is>
      </c>
      <c r="L59" s="37" t="n">
        <v>0.51</v>
      </c>
      <c r="M59" s="1">
        <f>L59*C59</f>
        <v/>
      </c>
      <c r="N59" s="11" t="n"/>
    </row>
    <row r="60" ht="15" customHeight="1" thickBot="1">
      <c r="A60" s="136" t="n">
        <v>4000670</v>
      </c>
      <c r="B60" s="137" t="inlineStr">
        <is>
          <t>PACK X 6 POTE X 1 LT MENTA GRANIZ. GRIDO</t>
        </is>
      </c>
      <c r="C60" s="10" t="n">
        <v>6</v>
      </c>
      <c r="D60" s="312" t="n"/>
      <c r="E60" s="96">
        <f>VLOOKUP(A60,MATERIALES!A555:D649,4,0)</f>
        <v/>
      </c>
      <c r="F60" s="97">
        <f>E60*C60</f>
        <v/>
      </c>
      <c r="G60" s="103">
        <f>F60*1.21</f>
        <v/>
      </c>
      <c r="H60" s="104">
        <f>VLOOKUP(A60,MATERIALES!$A:$E,5,0)</f>
        <v/>
      </c>
      <c r="I60" s="105">
        <f>C60*H60</f>
        <v/>
      </c>
      <c r="J60" s="312" t="n"/>
      <c r="K60" s="171" t="inlineStr">
        <is>
          <t>TENTACION</t>
        </is>
      </c>
      <c r="L60" s="37" t="n">
        <v>0.51</v>
      </c>
      <c r="M60" s="1">
        <f>L60*C60</f>
        <v/>
      </c>
      <c r="N60" s="11" t="n"/>
    </row>
    <row r="61" ht="16" customHeight="1" thickBot="1">
      <c r="A61" s="138" t="n">
        <v>4000136</v>
      </c>
      <c r="B61" s="139" t="inlineStr">
        <is>
          <t>PACK 4 CAJGRIDO CREM DE CREMA AMERICANA</t>
        </is>
      </c>
      <c r="C61" s="10" t="n">
        <v>16</v>
      </c>
      <c r="D61" s="245">
        <f>SUM(C61:C66)</f>
        <v/>
      </c>
      <c r="E61" s="96">
        <f>VLOOKUP(A61,MATERIALES!A556:D650,4,0)</f>
        <v/>
      </c>
      <c r="F61" s="97">
        <f>E61*C61</f>
        <v/>
      </c>
      <c r="G61" s="98">
        <f>F61*1.21</f>
        <v/>
      </c>
      <c r="H61" s="99">
        <f>VLOOKUP(A61,MATERIALES!$A:$E,5,0)</f>
        <v/>
      </c>
      <c r="I61" s="99">
        <f>C61*H61</f>
        <v/>
      </c>
      <c r="J61" s="231" t="n">
        <v>15</v>
      </c>
      <c r="K61" s="172" t="inlineStr">
        <is>
          <t xml:space="preserve">PALITOS </t>
        </is>
      </c>
      <c r="L61" s="117">
        <f>VLOOKUP(A61,MATERIALES!$A:$D,4,0)</f>
        <v/>
      </c>
      <c r="M61" s="1">
        <f>L61*C61</f>
        <v/>
      </c>
      <c r="N61" s="11" t="n"/>
    </row>
    <row r="62" ht="16" customHeight="1" thickBot="1">
      <c r="A62" s="140" t="n">
        <v>4000137</v>
      </c>
      <c r="B62" s="141" t="inlineStr">
        <is>
          <t>PACK 4 CAJAS GRIDO CREMOSO DE FRUTILLA</t>
        </is>
      </c>
      <c r="C62" s="10" t="n">
        <v>16</v>
      </c>
      <c r="D62" s="300" t="n"/>
      <c r="E62" s="96">
        <f>VLOOKUP(A62,MATERIALES!A557:D651,4,0)</f>
        <v/>
      </c>
      <c r="F62" s="97">
        <f>E62*C62</f>
        <v/>
      </c>
      <c r="G62" s="101">
        <f>F62*1.21</f>
        <v/>
      </c>
      <c r="H62" s="96">
        <f>VLOOKUP(A62,MATERIALES!$A:$E,5,0)</f>
        <v/>
      </c>
      <c r="I62" s="96">
        <f>C62*H62</f>
        <v/>
      </c>
      <c r="J62" s="299" t="n"/>
      <c r="K62" s="173" t="inlineStr">
        <is>
          <t xml:space="preserve">PALITOS </t>
        </is>
      </c>
      <c r="L62" s="117">
        <f>VLOOKUP(A62,MATERIALES!$A:$D,4,0)</f>
        <v/>
      </c>
      <c r="M62" s="1">
        <f>L62*C62</f>
        <v/>
      </c>
      <c r="N62" s="11" t="n"/>
    </row>
    <row r="63" ht="16" customHeight="1" thickBot="1">
      <c r="A63" s="140" t="n">
        <v>4000138</v>
      </c>
      <c r="B63" s="141" t="inlineStr">
        <is>
          <t>PACK 4 CAJAS GRIDO FRUTAL FRUTILLA X20</t>
        </is>
      </c>
      <c r="C63" s="10" t="n">
        <v>41</v>
      </c>
      <c r="D63" s="300" t="n"/>
      <c r="E63" s="96">
        <f>VLOOKUP(A63,MATERIALES!A558:D652,4,0)</f>
        <v/>
      </c>
      <c r="F63" s="97">
        <f>E63*C63</f>
        <v/>
      </c>
      <c r="G63" s="101">
        <f>F63*1.21</f>
        <v/>
      </c>
      <c r="H63" s="96">
        <f>VLOOKUP(A63,MATERIALES!$A:$E,5,0)</f>
        <v/>
      </c>
      <c r="I63" s="96">
        <f>C63*H63</f>
        <v/>
      </c>
      <c r="J63" s="299" t="n"/>
      <c r="K63" s="173" t="inlineStr">
        <is>
          <t xml:space="preserve">PALITOS </t>
        </is>
      </c>
      <c r="L63" s="117">
        <f>VLOOKUP(A63,MATERIALES!$A:$D,4,0)</f>
        <v/>
      </c>
      <c r="M63" s="1">
        <f>L63*C63</f>
        <v/>
      </c>
      <c r="N63" s="11" t="n"/>
    </row>
    <row r="64" ht="16" customHeight="1" thickBot="1">
      <c r="A64" s="140" t="n">
        <v>4000139</v>
      </c>
      <c r="B64" s="141" t="inlineStr">
        <is>
          <t>PACK 4 CAJAS GRIDO FRUTAL LIMON X20</t>
        </is>
      </c>
      <c r="C64" s="10" t="n">
        <v>29</v>
      </c>
      <c r="D64" s="300" t="n"/>
      <c r="E64" s="96">
        <f>VLOOKUP(A64,MATERIALES!A559:D653,4,0)</f>
        <v/>
      </c>
      <c r="F64" s="97">
        <f>E64*C64</f>
        <v/>
      </c>
      <c r="G64" s="101">
        <f>F64*1.21</f>
        <v/>
      </c>
      <c r="H64" s="96">
        <f>VLOOKUP(A64,MATERIALES!$A:$E,5,0)</f>
        <v/>
      </c>
      <c r="I64" s="96">
        <f>C64*H64</f>
        <v/>
      </c>
      <c r="J64" s="299" t="n"/>
      <c r="K64" s="173" t="inlineStr">
        <is>
          <t xml:space="preserve">PALITOS </t>
        </is>
      </c>
      <c r="L64" s="117">
        <f>VLOOKUP(A64,MATERIALES!$A:$D,4,0)</f>
        <v/>
      </c>
      <c r="M64" s="1">
        <f>L64*C64</f>
        <v/>
      </c>
      <c r="N64" s="11" t="n"/>
    </row>
    <row r="65" ht="16" customHeight="1" thickBot="1">
      <c r="A65" s="140" t="n">
        <v>4000140</v>
      </c>
      <c r="B65" s="141" t="inlineStr">
        <is>
          <t>PACK 4 CAJAS PALITO BOMBON X20 - GRIDO</t>
        </is>
      </c>
      <c r="C65" s="10" t="n">
        <v>64</v>
      </c>
      <c r="D65" s="300" t="n"/>
      <c r="E65" s="96">
        <f>VLOOKUP(A65,MATERIALES!A560:D654,4,0)</f>
        <v/>
      </c>
      <c r="F65" s="97">
        <f>E65*C65</f>
        <v/>
      </c>
      <c r="G65" s="101">
        <f>F65*1.21</f>
        <v/>
      </c>
      <c r="H65" s="96">
        <f>VLOOKUP(A65,MATERIALES!$A:$E,5,0)</f>
        <v/>
      </c>
      <c r="I65" s="96">
        <f>C65*H65</f>
        <v/>
      </c>
      <c r="J65" s="299" t="n"/>
      <c r="K65" s="173" t="inlineStr">
        <is>
          <t xml:space="preserve">PALITOS </t>
        </is>
      </c>
      <c r="L65" s="117">
        <f>VLOOKUP(A65,MATERIALES!$A:$D,4,0)</f>
        <v/>
      </c>
      <c r="M65" s="1">
        <f>L65*C65</f>
        <v/>
      </c>
      <c r="N65" s="11" t="n"/>
    </row>
    <row r="66" ht="15" customHeight="1" thickBot="1">
      <c r="A66" s="140" t="n">
        <v>4000141</v>
      </c>
      <c r="B66" s="141" t="inlineStr">
        <is>
          <t>PACK 4 CAJAS GRIDO FRUTAL NARANJA X20</t>
        </is>
      </c>
      <c r="C66" s="10" t="n">
        <v>22</v>
      </c>
      <c r="D66" s="300" t="n"/>
      <c r="E66" s="96">
        <f>VLOOKUP(A66,MATERIALES!A561:D655,4,0)</f>
        <v/>
      </c>
      <c r="F66" s="97">
        <f>E66*C66</f>
        <v/>
      </c>
      <c r="G66" s="101">
        <f>F66*1.21</f>
        <v/>
      </c>
      <c r="H66" s="96">
        <f>VLOOKUP(A66,MATERIALES!$A:$E,5,0)</f>
        <v/>
      </c>
      <c r="I66" s="96">
        <f>C66*H66</f>
        <v/>
      </c>
      <c r="J66" s="299" t="n"/>
      <c r="K66" s="173" t="inlineStr">
        <is>
          <t xml:space="preserve">PALITOS </t>
        </is>
      </c>
      <c r="L66" s="117">
        <f>VLOOKUP(A66,MATERIALES!$A:$D,4,0)</f>
        <v/>
      </c>
      <c r="M66" s="1">
        <f>L66*C66</f>
        <v/>
      </c>
      <c r="N66" s="11" t="n"/>
    </row>
    <row r="67" ht="15" customHeight="1" thickBot="1">
      <c r="A67" s="219" t="n">
        <v>4000856</v>
      </c>
      <c r="B67" s="220" t="inlineStr">
        <is>
          <t>PACK 10 CAJ. GRIDO FRUTAL FRUTILLA X 10</t>
        </is>
      </c>
      <c r="C67" s="10" t="n">
        <v>0</v>
      </c>
      <c r="D67" s="321">
        <f>SUM(C67:C71)</f>
        <v/>
      </c>
      <c r="E67" s="214" t="n">
        <v>1.388</v>
      </c>
      <c r="F67" s="97">
        <f>E67*C67</f>
        <v/>
      </c>
      <c r="G67" s="215" t="n"/>
      <c r="H67" s="216" t="n"/>
      <c r="I67" s="217" t="n"/>
      <c r="J67" s="249" t="n">
        <v>12</v>
      </c>
      <c r="K67" s="221" t="inlineStr">
        <is>
          <t>PALITOS NUEVOS X 10 UNID</t>
        </is>
      </c>
      <c r="L67" s="117" t="n">
        <v>1.388</v>
      </c>
      <c r="M67" s="1">
        <f>L67*C67</f>
        <v/>
      </c>
      <c r="N67" s="11" t="n"/>
    </row>
    <row r="68" ht="15" customHeight="1" thickBot="1">
      <c r="A68" s="219" t="n">
        <v>4000854</v>
      </c>
      <c r="B68" s="220" t="inlineStr">
        <is>
          <t>PACK 10 CAJ. GRIDO CREMOSO AMER. X 10 UN</t>
        </is>
      </c>
      <c r="C68" s="10" t="n">
        <v>0</v>
      </c>
      <c r="D68" s="300" t="n"/>
      <c r="E68" s="214" t="n">
        <v>1.388</v>
      </c>
      <c r="F68" s="97">
        <f>E68*C68</f>
        <v/>
      </c>
      <c r="G68" s="215" t="n"/>
      <c r="H68" s="216" t="n"/>
      <c r="I68" s="217" t="n"/>
      <c r="J68" s="299" t="n"/>
      <c r="K68" s="221" t="inlineStr">
        <is>
          <t>PALITOS NUEVOS X 10 UNID</t>
        </is>
      </c>
      <c r="L68" s="117" t="n">
        <v>1.388</v>
      </c>
      <c r="M68" s="1">
        <f>L68*C68</f>
        <v/>
      </c>
      <c r="N68" s="11" t="n"/>
    </row>
    <row r="69" ht="15" customHeight="1" thickBot="1">
      <c r="A69" s="219" t="n">
        <v>4000859</v>
      </c>
      <c r="B69" s="220" t="inlineStr">
        <is>
          <t>PACK 10 CAJ. PALITO BOMBON GRIDO X 10 U</t>
        </is>
      </c>
      <c r="C69" s="10" t="n">
        <v>0</v>
      </c>
      <c r="D69" s="300" t="n"/>
      <c r="E69" s="214" t="n">
        <v>1.388</v>
      </c>
      <c r="F69" s="97">
        <f>E69*C69</f>
        <v/>
      </c>
      <c r="G69" s="215" t="n"/>
      <c r="H69" s="216" t="n"/>
      <c r="I69" s="217" t="n"/>
      <c r="J69" s="299" t="n"/>
      <c r="K69" s="221" t="inlineStr">
        <is>
          <t>PALITOS NUEVOS X 10 UNID</t>
        </is>
      </c>
      <c r="L69" s="117" t="n">
        <v>1.388</v>
      </c>
      <c r="M69" s="1">
        <f>L69*C69</f>
        <v/>
      </c>
      <c r="N69" s="11" t="n"/>
    </row>
    <row r="70" ht="15" customHeight="1" thickBot="1">
      <c r="A70" s="219" t="n">
        <v>4000858</v>
      </c>
      <c r="B70" s="220" t="inlineStr">
        <is>
          <t>PACK 10 CAJ. GRIDO FRUTAL NARANJA X 10 U</t>
        </is>
      </c>
      <c r="C70" s="10" t="n">
        <v>0</v>
      </c>
      <c r="D70" s="300" t="n"/>
      <c r="E70" s="214" t="n">
        <v>1.388</v>
      </c>
      <c r="F70" s="97">
        <f>E70*C70</f>
        <v/>
      </c>
      <c r="G70" s="215" t="n"/>
      <c r="H70" s="216" t="n"/>
      <c r="I70" s="217" t="n"/>
      <c r="J70" s="299" t="n"/>
      <c r="K70" s="221" t="inlineStr">
        <is>
          <t>PALITOS NUEVOS X 10 UNID</t>
        </is>
      </c>
      <c r="L70" s="117" t="n">
        <v>1.388</v>
      </c>
      <c r="M70" s="1">
        <f>L70*C70</f>
        <v/>
      </c>
      <c r="N70" s="11" t="n"/>
    </row>
    <row r="71" ht="15" customHeight="1" thickBot="1">
      <c r="A71" s="219" t="n">
        <v>4000855</v>
      </c>
      <c r="B71" s="220" t="inlineStr">
        <is>
          <t xml:space="preserve">PACK 10 CAJ. GRIDO CREMOSO FRUT. X 10 UN </t>
        </is>
      </c>
      <c r="C71" s="10" t="n">
        <v>0</v>
      </c>
      <c r="D71" s="322" t="n"/>
      <c r="E71" s="214" t="n">
        <v>1.388</v>
      </c>
      <c r="F71" s="97">
        <f>E71*C71</f>
        <v/>
      </c>
      <c r="G71" s="215" t="n"/>
      <c r="H71" s="216" t="n"/>
      <c r="I71" s="217" t="n"/>
      <c r="J71" s="312" t="n"/>
      <c r="K71" s="221" t="inlineStr">
        <is>
          <t>PALITOS NUEVOS X 10 UNID</t>
        </is>
      </c>
      <c r="L71" s="117" t="n">
        <v>1.388</v>
      </c>
      <c r="M71" s="1">
        <f>L71*C71</f>
        <v/>
      </c>
      <c r="N71" s="11" t="n"/>
    </row>
    <row r="72" ht="15" customHeight="1" thickBot="1">
      <c r="A72" s="142" t="n">
        <v>4000742</v>
      </c>
      <c r="B72" s="143" t="inlineStr">
        <is>
          <t>PACK X 6 CAJ. ALFAJOR HELADO SHOT - GR</t>
        </is>
      </c>
      <c r="C72" s="10" t="n">
        <v>0</v>
      </c>
      <c r="D72" s="321">
        <f>SUM(C72:C74)</f>
        <v/>
      </c>
      <c r="E72" s="96">
        <f>VLOOKUP(A72,MATERIALES!A562:D656,4,0)</f>
        <v/>
      </c>
      <c r="F72" s="97">
        <f>E72*C72</f>
        <v/>
      </c>
      <c r="G72" s="98">
        <f>F72*1.21</f>
        <v/>
      </c>
      <c r="H72" s="99">
        <f>VLOOKUP(A72,MATERIALES!$A:$E,5,0)</f>
        <v/>
      </c>
      <c r="I72" s="100">
        <f>C72*H72</f>
        <v/>
      </c>
      <c r="J72" s="320" t="n">
        <v>10</v>
      </c>
      <c r="K72" s="174" t="inlineStr">
        <is>
          <t>ESCOCES-SHOT-SECRETO</t>
        </is>
      </c>
      <c r="L72" s="117">
        <f>VLOOKUP(A72,MATERIALES!$A:$D,4,0)</f>
        <v/>
      </c>
      <c r="M72" s="1">
        <f>L72*C72</f>
        <v/>
      </c>
      <c r="N72" s="11" t="n"/>
    </row>
    <row r="73" ht="15" customHeight="1" thickBot="1">
      <c r="A73" s="144" t="n">
        <v>4000147</v>
      </c>
      <c r="B73" s="145" t="inlineStr">
        <is>
          <t>PACK 6 CAJAS BOMBON ESCOCES X8 - GRIDO</t>
        </is>
      </c>
      <c r="C73" s="10" t="n">
        <v>60</v>
      </c>
      <c r="D73" s="300" t="n"/>
      <c r="E73" s="96">
        <f>VLOOKUP(A73,MATERIALES!A563:D657,4,0)</f>
        <v/>
      </c>
      <c r="F73" s="97">
        <f>E73*C73</f>
        <v/>
      </c>
      <c r="G73" s="103">
        <f>F73*1.21</f>
        <v/>
      </c>
      <c r="H73" s="104">
        <f>VLOOKUP(A73,MATERIALES!$A:$E,5,0)</f>
        <v/>
      </c>
      <c r="I73" s="105">
        <f>C73*H73</f>
        <v/>
      </c>
      <c r="J73" s="299" t="n"/>
      <c r="K73" s="174" t="inlineStr">
        <is>
          <t>ESCOCES-SHOT-SECRETO</t>
        </is>
      </c>
      <c r="L73" s="117">
        <f>VLOOKUP(A73,MATERIALES!$A:$D,4,0)</f>
        <v/>
      </c>
      <c r="M73" s="1">
        <f>L73*C73</f>
        <v/>
      </c>
      <c r="N73" s="11" t="n"/>
    </row>
    <row r="74" ht="15" customHeight="1" thickBot="1">
      <c r="A74" s="208" t="n">
        <v>4000823</v>
      </c>
      <c r="B74" s="209" t="inlineStr">
        <is>
          <t>PACK 6 CAJ. ALFAJOR SECRETO COOKIES GR</t>
        </is>
      </c>
      <c r="C74" s="10" t="n">
        <v>27</v>
      </c>
      <c r="D74" s="322" t="n"/>
      <c r="E74" s="96" t="n">
        <v>0.92</v>
      </c>
      <c r="F74" s="97">
        <f>E74*C74</f>
        <v/>
      </c>
      <c r="G74" s="210" t="n"/>
      <c r="H74" s="211" t="n"/>
      <c r="I74" s="212" t="n"/>
      <c r="J74" s="312" t="n"/>
      <c r="K74" s="213" t="inlineStr">
        <is>
          <t>ESCOCES-SHOT-SECRETO</t>
        </is>
      </c>
      <c r="L74" s="117" t="n">
        <v>0.77</v>
      </c>
      <c r="M74" s="1">
        <f>L74*C74</f>
        <v/>
      </c>
      <c r="N74" s="11" t="n"/>
    </row>
    <row r="75" ht="14.5" customHeight="1" thickBot="1">
      <c r="A75" s="146" t="n">
        <v>4000142</v>
      </c>
      <c r="B75" s="147" t="inlineStr">
        <is>
          <t>PACK 6 CAJAS CASSATA X 8 GRIDO</t>
        </is>
      </c>
      <c r="C75" s="10" t="n">
        <v>5</v>
      </c>
      <c r="D75" s="321">
        <f>SUM(C75:C77)</f>
        <v/>
      </c>
      <c r="E75" s="96">
        <f>VLOOKUP(A75,MATERIALES!A564:D658,4,0)</f>
        <v/>
      </c>
      <c r="F75" s="97">
        <f>E75*C75</f>
        <v/>
      </c>
      <c r="G75" s="98">
        <f>F75*1.21</f>
        <v/>
      </c>
      <c r="H75" s="99">
        <f>VLOOKUP(A75,MATERIALES!$A:$E,5,0)</f>
        <v/>
      </c>
      <c r="I75" s="100">
        <f>C75*H75</f>
        <v/>
      </c>
      <c r="J75" s="320" t="n">
        <v>10</v>
      </c>
      <c r="K75" s="175" t="inlineStr">
        <is>
          <t xml:space="preserve">PORCION </t>
        </is>
      </c>
      <c r="L75" s="117">
        <f>VLOOKUP(A75,MATERIALES!$A:$D,4,0)</f>
        <v/>
      </c>
      <c r="M75" s="1">
        <f>L75*C75</f>
        <v/>
      </c>
      <c r="N75" s="11" t="n"/>
    </row>
    <row r="76" ht="15" customHeight="1" thickBot="1">
      <c r="A76" s="148" t="n">
        <v>4000143</v>
      </c>
      <c r="B76" s="149" t="inlineStr">
        <is>
          <t>PACK 6 CAJAS ALMENDRADO X 8 - GRIDO</t>
        </is>
      </c>
      <c r="C76" s="10" t="n">
        <v>13</v>
      </c>
      <c r="D76" s="300" t="n"/>
      <c r="E76" s="96">
        <f>VLOOKUP(A76,MATERIALES!A565:D659,4,0)</f>
        <v/>
      </c>
      <c r="F76" s="97">
        <f>E76*C76</f>
        <v/>
      </c>
      <c r="G76" s="101">
        <f>F76*1.21</f>
        <v/>
      </c>
      <c r="H76" s="96">
        <f>VLOOKUP(A76,MATERIALES!$A:$E,5,0)</f>
        <v/>
      </c>
      <c r="I76" s="102">
        <f>C76*H76</f>
        <v/>
      </c>
      <c r="J76" s="299" t="n"/>
      <c r="K76" s="176" t="inlineStr">
        <is>
          <t xml:space="preserve">PORCION </t>
        </is>
      </c>
      <c r="L76" s="117">
        <f>VLOOKUP(A76,MATERIALES!$A:$D,4,0)</f>
        <v/>
      </c>
      <c r="M76" s="1">
        <f>L76*C76</f>
        <v/>
      </c>
      <c r="N76" s="11" t="n"/>
    </row>
    <row r="77" ht="16" customHeight="1" thickBot="1">
      <c r="A77" s="150" t="n">
        <v>4000146</v>
      </c>
      <c r="B77" s="151" t="inlineStr">
        <is>
          <t>PACK 6 CAJAS BOMBON SUIZO X8 - GRIDO</t>
        </is>
      </c>
      <c r="C77" s="10" t="n">
        <v>19</v>
      </c>
      <c r="D77" s="322" t="n"/>
      <c r="E77" s="96">
        <f>VLOOKUP(A77,MATERIALES!A566:D660,4,0)</f>
        <v/>
      </c>
      <c r="F77" s="97">
        <f>E77*C77</f>
        <v/>
      </c>
      <c r="G77" s="103">
        <f>F77*1.21</f>
        <v/>
      </c>
      <c r="H77" s="104">
        <f>VLOOKUP(A77,MATERIALES!$A:$E,5,0)</f>
        <v/>
      </c>
      <c r="I77" s="105">
        <f>C77*H77</f>
        <v/>
      </c>
      <c r="J77" s="312" t="n"/>
      <c r="K77" s="177" t="inlineStr">
        <is>
          <t xml:space="preserve">PORCION </t>
        </is>
      </c>
      <c r="L77" s="117">
        <f>VLOOKUP(A77,MATERIALES!$A:$D,4,0)</f>
        <v/>
      </c>
      <c r="M77" s="1">
        <f>L77*C77</f>
        <v/>
      </c>
      <c r="N77" s="11" t="n"/>
    </row>
    <row r="78" ht="14.5" customHeight="1" thickBot="1">
      <c r="A78" s="152" t="n">
        <v>4000144</v>
      </c>
      <c r="B78" s="153" t="inlineStr">
        <is>
          <t>PACK 4 U. POSTRE CROCANTINO - GRIDO</t>
        </is>
      </c>
      <c r="C78" s="10" t="n">
        <v>20</v>
      </c>
      <c r="D78" s="321">
        <f>SUM(C78:C82)</f>
        <v/>
      </c>
      <c r="E78" s="96">
        <f>VLOOKUP(A78,MATERIALES!A567:D661,4,0)</f>
        <v/>
      </c>
      <c r="F78" s="97">
        <f>E78*C78</f>
        <v/>
      </c>
      <c r="G78" s="98">
        <f>F78*1.21</f>
        <v/>
      </c>
      <c r="H78" s="99">
        <f>VLOOKUP(A78,MATERIALES!$A:$E,5,0)</f>
        <v/>
      </c>
      <c r="I78" s="100">
        <f>C78*H78</f>
        <v/>
      </c>
      <c r="J78" s="320" t="n">
        <v>12</v>
      </c>
      <c r="K78" s="178" t="inlineStr">
        <is>
          <t>BARRAS</t>
        </is>
      </c>
      <c r="L78" s="37" t="n">
        <v>0.58</v>
      </c>
      <c r="M78" s="1">
        <f>L78*C78</f>
        <v/>
      </c>
      <c r="N78" s="11" t="n"/>
    </row>
    <row r="79" ht="14.5" customHeight="1" thickBot="1">
      <c r="A79" s="154" t="n">
        <v>4000145</v>
      </c>
      <c r="B79" s="155" t="inlineStr">
        <is>
          <t>PACK 6 CAJAS BOMBON CROCANTE X8 - GRIDO</t>
        </is>
      </c>
      <c r="C79" s="10" t="n">
        <v>60</v>
      </c>
      <c r="D79" s="300" t="n"/>
      <c r="E79" s="96">
        <f>VLOOKUP(A79,MATERIALES!A568:D662,4,0)</f>
        <v/>
      </c>
      <c r="F79" s="97">
        <f>E79*C79</f>
        <v/>
      </c>
      <c r="G79" s="101">
        <f>F79*1.21</f>
        <v/>
      </c>
      <c r="H79" s="96">
        <f>VLOOKUP(A79,MATERIALES!$A:$E,5,0)</f>
        <v/>
      </c>
      <c r="I79" s="102">
        <f>C79*H79</f>
        <v/>
      </c>
      <c r="J79" s="299" t="n"/>
      <c r="K79" s="179" t="inlineStr">
        <is>
          <t>BARRAS</t>
        </is>
      </c>
      <c r="L79" s="37" t="n">
        <v>0.58</v>
      </c>
      <c r="M79" s="1">
        <f>L79*C79</f>
        <v/>
      </c>
      <c r="N79" s="11" t="n"/>
    </row>
    <row r="80" ht="14.5" customHeight="1" thickBot="1">
      <c r="A80" s="154" t="n">
        <v>4000867</v>
      </c>
      <c r="B80" s="222" t="inlineStr">
        <is>
          <t>PACK 6 CAJAS BOMBON FRUTEZZA X 8 - GRIDO</t>
        </is>
      </c>
      <c r="C80" s="10" t="n">
        <v>44</v>
      </c>
      <c r="D80" s="300" t="n"/>
      <c r="E80" s="96" t="n">
        <v>0.641</v>
      </c>
      <c r="F80" s="97">
        <f>E80*C80</f>
        <v/>
      </c>
      <c r="G80" s="101">
        <f>F80*1.21</f>
        <v/>
      </c>
      <c r="H80" s="96" t="n"/>
      <c r="I80" s="102" t="n"/>
      <c r="J80" s="299" t="n"/>
      <c r="K80" s="179" t="inlineStr">
        <is>
          <t>BARRAS</t>
        </is>
      </c>
      <c r="L80" s="37" t="n">
        <v>0.58</v>
      </c>
      <c r="M80" s="1">
        <f>L80*C80</f>
        <v/>
      </c>
      <c r="N80" s="11" t="n"/>
    </row>
    <row r="81" ht="14.5" customHeight="1" thickBot="1">
      <c r="A81" s="154" t="n">
        <v>4000148</v>
      </c>
      <c r="B81" s="155" t="inlineStr">
        <is>
          <t>PACK 6 CAJAS BOMBON VAINILLA SPLIT X 8</t>
        </is>
      </c>
      <c r="C81" s="10" t="n">
        <v>0</v>
      </c>
      <c r="D81" s="300" t="n"/>
      <c r="E81" s="96">
        <f>VLOOKUP(A81,MATERIALES!A569:D663,4,0)</f>
        <v/>
      </c>
      <c r="F81" s="97">
        <f>E81*C81</f>
        <v/>
      </c>
      <c r="G81" s="101">
        <f>F81*1.21</f>
        <v/>
      </c>
      <c r="H81" s="96">
        <f>VLOOKUP(A81,MATERIALES!$A:$E,5,0)</f>
        <v/>
      </c>
      <c r="I81" s="102">
        <f>C81*H81</f>
        <v/>
      </c>
      <c r="J81" s="299" t="n"/>
      <c r="K81" s="179" t="inlineStr">
        <is>
          <t>BARRAS</t>
        </is>
      </c>
      <c r="L81" s="37" t="n">
        <v>0.58</v>
      </c>
      <c r="M81" s="1">
        <f>L81*C81</f>
        <v/>
      </c>
      <c r="N81" s="11" t="n"/>
    </row>
    <row r="82" ht="15" customHeight="1" thickBot="1">
      <c r="A82" s="156" t="n">
        <v>4000593</v>
      </c>
      <c r="B82" s="157" t="inlineStr">
        <is>
          <t>PACK 4 U DELICIA DE CHOCO.Y MANÍ - GRIDO</t>
        </is>
      </c>
      <c r="C82" s="10" t="n">
        <v>0</v>
      </c>
      <c r="D82" s="322" t="n"/>
      <c r="E82" s="96">
        <f>VLOOKUP(A82,MATERIALES!A570:D664,4,0)</f>
        <v/>
      </c>
      <c r="F82" s="97">
        <f>E82*C82</f>
        <v/>
      </c>
      <c r="G82" s="103">
        <f>F82*1.21</f>
        <v/>
      </c>
      <c r="H82" s="104">
        <f>VLOOKUP(A82,MATERIALES!$A:$E,5,0)</f>
        <v/>
      </c>
      <c r="I82" s="105">
        <f>C82*H82</f>
        <v/>
      </c>
      <c r="J82" s="312" t="n"/>
      <c r="K82" s="180" t="inlineStr">
        <is>
          <t>BARRAS</t>
        </is>
      </c>
      <c r="L82" s="37" t="n">
        <v>0.58</v>
      </c>
      <c r="M82" s="1">
        <f>L82*C82</f>
        <v/>
      </c>
      <c r="N82" s="11" t="n"/>
    </row>
    <row r="83" ht="15" customHeight="1" thickBot="1">
      <c r="A83" s="80" t="n">
        <v>6002671</v>
      </c>
      <c r="B83" s="80" t="inlineStr">
        <is>
          <t>PACK 12 CAJAS PIZZA FRIZZIO 510 grs.</t>
        </is>
      </c>
      <c r="C83" s="10" t="n">
        <v>0</v>
      </c>
      <c r="D83" s="226">
        <f>SUM(C83:C100)</f>
        <v/>
      </c>
      <c r="E83" s="106">
        <f>VLOOKUP(A83,MATERIALES!A481:D517,4,0)</f>
        <v/>
      </c>
      <c r="F83" s="97">
        <f>C83*E83</f>
        <v/>
      </c>
      <c r="G83" s="103">
        <f>F83*1.21</f>
        <v/>
      </c>
      <c r="H83" s="104">
        <f>VLOOKUP(A83,MATERIALES!$A:$E,5,0)</f>
        <v/>
      </c>
      <c r="I83" s="107">
        <f>C83*H83</f>
        <v/>
      </c>
      <c r="J83" s="320" t="n">
        <v>5</v>
      </c>
      <c r="K83" s="181" t="inlineStr">
        <is>
          <t>ALIM.CONGELADOS CAJAS GRANDES</t>
        </is>
      </c>
      <c r="L83" s="33" t="n">
        <v>1.2</v>
      </c>
      <c r="M83" s="1">
        <f>L83*C83</f>
        <v/>
      </c>
      <c r="N83" s="11" t="n"/>
    </row>
    <row r="84" ht="14.5" customHeight="1" thickBot="1">
      <c r="A84" s="81" t="n">
        <v>6002675</v>
      </c>
      <c r="B84" s="81" t="inlineStr">
        <is>
          <t>PACK 12 PIZZAS INTEGRAL FRIZZIO 530 grs.</t>
        </is>
      </c>
      <c r="C84" s="10" t="n">
        <v>0</v>
      </c>
      <c r="D84" s="299" t="n"/>
      <c r="E84" s="106">
        <f>VLOOKUP(A84,MATERIALES!A482:D518,4,0)</f>
        <v/>
      </c>
      <c r="F84" s="97">
        <f>C84*E84</f>
        <v/>
      </c>
      <c r="G84" s="101">
        <f>F84*1.21</f>
        <v/>
      </c>
      <c r="H84" s="96">
        <f>VLOOKUP(A84,MATERIALES!$A:$E,5,0)</f>
        <v/>
      </c>
      <c r="I84" s="102">
        <f>C84*H84</f>
        <v/>
      </c>
      <c r="J84" s="299" t="n"/>
      <c r="K84" s="181" t="inlineStr">
        <is>
          <t>ALIM.CONGELADOS CAJAS GRANDES</t>
        </is>
      </c>
      <c r="L84" s="33" t="n">
        <v>1.2</v>
      </c>
      <c r="M84" s="1">
        <f>L84*C84</f>
        <v/>
      </c>
      <c r="N84" s="229" t="inlineStr">
        <is>
          <t>ALIMENTOS CONGELADOS</t>
        </is>
      </c>
    </row>
    <row r="85" ht="14.5" customHeight="1" thickBot="1">
      <c r="A85" s="81" t="n">
        <v>6002678</v>
      </c>
      <c r="B85" s="81" t="inlineStr">
        <is>
          <t>PACK 11 PIZZAS DE CEBOLLA FRIZZIO 540 gr</t>
        </is>
      </c>
      <c r="C85" s="10" t="n">
        <v>0</v>
      </c>
      <c r="D85" s="299" t="n"/>
      <c r="E85" s="106">
        <f>VLOOKUP(A85,MATERIALES!A483:D519,4,0)</f>
        <v/>
      </c>
      <c r="F85" s="97">
        <f>C85*E85</f>
        <v/>
      </c>
      <c r="G85" s="101">
        <f>F85*1.21</f>
        <v/>
      </c>
      <c r="H85" s="96">
        <f>VLOOKUP(A85,MATERIALES!$A:$E,5,0)</f>
        <v/>
      </c>
      <c r="I85" s="102">
        <f>C85*H85</f>
        <v/>
      </c>
      <c r="J85" s="299" t="n"/>
      <c r="K85" s="181" t="inlineStr">
        <is>
          <t>ALIM.CONGELADOS CAJAS GRANDES</t>
        </is>
      </c>
      <c r="L85" s="33" t="n">
        <v>1.2</v>
      </c>
      <c r="M85" s="1">
        <f>L85*C85</f>
        <v/>
      </c>
      <c r="N85" s="323" t="n"/>
    </row>
    <row r="86" ht="14.5" customHeight="1" thickBot="1">
      <c r="A86" s="81" t="n">
        <v>6002679</v>
      </c>
      <c r="B86" s="81" t="inlineStr">
        <is>
          <t>PACK 11 PIZZAS DE JAMON FRIZZIO 535 grs.</t>
        </is>
      </c>
      <c r="C86" s="10" t="n">
        <v>0</v>
      </c>
      <c r="D86" s="299" t="n"/>
      <c r="E86" s="106">
        <f>VLOOKUP(A86,MATERIALES!A484:D520,4,0)</f>
        <v/>
      </c>
      <c r="F86" s="97">
        <f>C86*E86</f>
        <v/>
      </c>
      <c r="G86" s="101">
        <f>F86*1.21</f>
        <v/>
      </c>
      <c r="H86" s="96">
        <f>VLOOKUP(A86,MATERIALES!$A:$E,5,0)</f>
        <v/>
      </c>
      <c r="I86" s="102">
        <f>C86*H86</f>
        <v/>
      </c>
      <c r="J86" s="299" t="n"/>
      <c r="K86" s="181" t="inlineStr">
        <is>
          <t>ALIM.CONGELADOS CAJAS GRANDES</t>
        </is>
      </c>
      <c r="L86" s="33" t="n">
        <v>1.2</v>
      </c>
      <c r="M86" s="1">
        <f>L86*C86</f>
        <v/>
      </c>
      <c r="N86" s="323" t="n"/>
    </row>
    <row r="87" ht="14.5" customHeight="1" thickBot="1">
      <c r="A87" s="81" t="n">
        <v>6002680</v>
      </c>
      <c r="B87" s="81" t="inlineStr">
        <is>
          <t>PACK X 8 PIZZA FRIZZIO T. CASERA 665 grs</t>
        </is>
      </c>
      <c r="C87" s="10" t="n">
        <v>0</v>
      </c>
      <c r="D87" s="299" t="n"/>
      <c r="E87" s="106">
        <f>VLOOKUP(A87,MATERIALES!A485:D521,4,0)</f>
        <v/>
      </c>
      <c r="F87" s="97">
        <f>C87*E87</f>
        <v/>
      </c>
      <c r="G87" s="101">
        <f>F87*1.21</f>
        <v/>
      </c>
      <c r="H87" s="96">
        <f>VLOOKUP(A87,MATERIALES!$A:$E,5,0)</f>
        <v/>
      </c>
      <c r="I87" s="102">
        <f>C87*H87</f>
        <v/>
      </c>
      <c r="J87" s="299" t="n"/>
      <c r="K87" s="181" t="inlineStr">
        <is>
          <t>ALIM.CONGELADOS CAJAS GRANDES</t>
        </is>
      </c>
      <c r="L87" s="33" t="n">
        <v>1.2</v>
      </c>
      <c r="M87" s="1">
        <f>L87*C87</f>
        <v/>
      </c>
      <c r="N87" s="323" t="n"/>
    </row>
    <row r="88" ht="14.5" customHeight="1" thickBot="1">
      <c r="A88" s="81" t="n">
        <v>6002674</v>
      </c>
      <c r="B88" s="81" t="inlineStr">
        <is>
          <t>PACK 20 UN. MINI PIZZA FRIZZIO X 180 grs</t>
        </is>
      </c>
      <c r="C88" s="10" t="n">
        <v>0</v>
      </c>
      <c r="D88" s="299" t="n"/>
      <c r="E88" s="106">
        <f>VLOOKUP(A88,MATERIALES!A486:D522,4,0)</f>
        <v/>
      </c>
      <c r="F88" s="97">
        <f>C88*E88</f>
        <v/>
      </c>
      <c r="G88" s="101">
        <f>F88*1.21</f>
        <v/>
      </c>
      <c r="H88" s="96">
        <f>VLOOKUP(A88,MATERIALES!$A:$E,5,0)</f>
        <v/>
      </c>
      <c r="I88" s="102">
        <f>C88*H88</f>
        <v/>
      </c>
      <c r="J88" s="299" t="n"/>
      <c r="K88" s="181" t="inlineStr">
        <is>
          <t>ALIM.CONGELADOS CAJAS GRANDES</t>
        </is>
      </c>
      <c r="L88" s="33" t="n">
        <v>1.2</v>
      </c>
      <c r="M88" s="1">
        <f>L88*C88</f>
        <v/>
      </c>
      <c r="N88" s="323" t="n"/>
    </row>
    <row r="89" ht="14.5" customHeight="1" thickBot="1">
      <c r="A89" s="81" t="n">
        <v>6002672</v>
      </c>
      <c r="B89" s="81" t="inlineStr">
        <is>
          <t>PACK 16 UN. BASTONCITOS FRIZZIO 380 grs</t>
        </is>
      </c>
      <c r="C89" s="10" t="n">
        <v>0</v>
      </c>
      <c r="D89" s="299" t="n"/>
      <c r="E89" s="106">
        <f>VLOOKUP(A89,MATERIALES!A487:D523,4,0)</f>
        <v/>
      </c>
      <c r="F89" s="97">
        <f>C89*E89</f>
        <v/>
      </c>
      <c r="G89" s="101">
        <f>F89*1.21</f>
        <v/>
      </c>
      <c r="H89" s="96">
        <f>VLOOKUP(A89,MATERIALES!$A:$E,5,0)</f>
        <v/>
      </c>
      <c r="I89" s="102">
        <f>C89*H89</f>
        <v/>
      </c>
      <c r="J89" s="299" t="n"/>
      <c r="K89" s="181" t="inlineStr">
        <is>
          <t>ALIM.CONGELADOS CAJAS GRANDES</t>
        </is>
      </c>
      <c r="L89" s="33" t="n">
        <v>1.2</v>
      </c>
      <c r="M89" s="1">
        <f>L89*C89</f>
        <v/>
      </c>
      <c r="N89" s="323" t="n"/>
    </row>
    <row r="90" ht="14.5" customHeight="1" thickBot="1">
      <c r="A90" s="81" t="n">
        <v>6002673</v>
      </c>
      <c r="B90" s="81" t="inlineStr">
        <is>
          <t>PACK 16 PECHUGUITA FRIZZIO 380 grs</t>
        </is>
      </c>
      <c r="C90" s="10" t="n">
        <v>0</v>
      </c>
      <c r="D90" s="299" t="n"/>
      <c r="E90" s="106">
        <f>VLOOKUP(A90,MATERIALES!A488:D524,4,0)</f>
        <v/>
      </c>
      <c r="F90" s="97">
        <f>C90*E90</f>
        <v/>
      </c>
      <c r="G90" s="101">
        <f>F90*1.21</f>
        <v/>
      </c>
      <c r="H90" s="96">
        <f>VLOOKUP(A90,MATERIALES!$A:$E,5,0)</f>
        <v/>
      </c>
      <c r="I90" s="102">
        <f>C90*H90</f>
        <v/>
      </c>
      <c r="J90" s="299" t="n"/>
      <c r="K90" s="181" t="inlineStr">
        <is>
          <t>ALIM.CONGELADOS CAJAS GRANDES</t>
        </is>
      </c>
      <c r="L90" s="33" t="n">
        <v>1.2</v>
      </c>
      <c r="M90" s="1">
        <f>L90*C90</f>
        <v/>
      </c>
      <c r="N90" s="323" t="n"/>
    </row>
    <row r="91" ht="14.5" customHeight="1" thickBot="1">
      <c r="A91" s="81" t="n">
        <v>6002676</v>
      </c>
      <c r="B91" s="81" t="inlineStr">
        <is>
          <t>PACK 72 EMPANADAS DE CARNE DE 70 grs.</t>
        </is>
      </c>
      <c r="C91" s="10" t="n">
        <v>0</v>
      </c>
      <c r="D91" s="299" t="n"/>
      <c r="E91" s="106">
        <f>VLOOKUP(A91,MATERIALES!A489:D525,4,0)</f>
        <v/>
      </c>
      <c r="F91" s="97">
        <f>C91*E91</f>
        <v/>
      </c>
      <c r="G91" s="101">
        <f>F91*1.21</f>
        <v/>
      </c>
      <c r="H91" s="96">
        <f>VLOOKUP(A91,MATERIALES!$A:$E,5,0)</f>
        <v/>
      </c>
      <c r="I91" s="102">
        <f>C91*H91</f>
        <v/>
      </c>
      <c r="J91" s="299" t="n"/>
      <c r="K91" s="181" t="inlineStr">
        <is>
          <t>ALIM.CONGELADOS CAJAS GRANDES</t>
        </is>
      </c>
      <c r="L91" s="33" t="n">
        <v>1.2</v>
      </c>
      <c r="M91" s="1">
        <f>L91*C91</f>
        <v/>
      </c>
      <c r="N91" s="323" t="n"/>
    </row>
    <row r="92" ht="14.5" customHeight="1" thickBot="1">
      <c r="A92" s="81" t="n">
        <v>6002677</v>
      </c>
      <c r="B92" s="81" t="inlineStr">
        <is>
          <t>PACK 72 EMPANADAS DE JyQ DE 70 grs.</t>
        </is>
      </c>
      <c r="C92" s="10" t="n">
        <v>0</v>
      </c>
      <c r="D92" s="299" t="n"/>
      <c r="E92" s="106">
        <f>VLOOKUP(A92,MATERIALES!A490:D526,4,0)</f>
        <v/>
      </c>
      <c r="F92" s="97">
        <f>C92*E92</f>
        <v/>
      </c>
      <c r="G92" s="101">
        <f>F92*1.21</f>
        <v/>
      </c>
      <c r="H92" s="96">
        <f>VLOOKUP(A92,MATERIALES!$A:$E,5,0)</f>
        <v/>
      </c>
      <c r="I92" s="102">
        <f>C92*H92</f>
        <v/>
      </c>
      <c r="J92" s="299" t="n"/>
      <c r="K92" s="181" t="inlineStr">
        <is>
          <t>ALIM.CONGELADOS CAJAS GRANDES</t>
        </is>
      </c>
      <c r="L92" s="33" t="n">
        <v>1.2</v>
      </c>
      <c r="M92" s="1">
        <f>L92*C92</f>
        <v/>
      </c>
      <c r="N92" s="323" t="n"/>
    </row>
    <row r="93" ht="14.5" customHeight="1" thickBot="1">
      <c r="A93" s="81" t="n">
        <v>6003299</v>
      </c>
      <c r="B93" s="81" t="inlineStr">
        <is>
          <t>PACK 72 (18X4) EMPANADA DE CARNE FR x80g</t>
        </is>
      </c>
      <c r="C93" s="10" t="n">
        <v>0</v>
      </c>
      <c r="D93" s="299" t="n"/>
      <c r="E93" s="106" t="n">
        <v>0.88</v>
      </c>
      <c r="F93" s="97">
        <f>C93*E93</f>
        <v/>
      </c>
      <c r="G93" s="101" t="n"/>
      <c r="H93" s="96" t="n"/>
      <c r="I93" s="102" t="n"/>
      <c r="J93" s="299" t="n"/>
      <c r="K93" s="181" t="inlineStr">
        <is>
          <t>ALIM.CONGELADOS CAJAS GRANDES</t>
        </is>
      </c>
      <c r="L93" s="33" t="n">
        <v>1.2</v>
      </c>
      <c r="M93" s="1">
        <f>L93*C93</f>
        <v/>
      </c>
      <c r="N93" s="323" t="n"/>
    </row>
    <row r="94" ht="14.5" customHeight="1" thickBot="1">
      <c r="A94" s="81" t="n">
        <v>6003300</v>
      </c>
      <c r="B94" s="81" t="inlineStr">
        <is>
          <t>PACK 72 (18X4) EMPANADA DE JyQ FR x80g</t>
        </is>
      </c>
      <c r="C94" s="10" t="n">
        <v>0</v>
      </c>
      <c r="D94" s="299" t="n"/>
      <c r="E94" s="106" t="n">
        <v>0.88</v>
      </c>
      <c r="F94" s="97">
        <f>C94*E94</f>
        <v/>
      </c>
      <c r="G94" s="101" t="n"/>
      <c r="H94" s="96" t="n"/>
      <c r="I94" s="102" t="n"/>
      <c r="J94" s="299" t="n"/>
      <c r="K94" s="181" t="inlineStr">
        <is>
          <t>ALIM.CONGELADOS CAJAS GRANDES</t>
        </is>
      </c>
      <c r="L94" s="33" t="n">
        <v>1.2</v>
      </c>
      <c r="M94" s="1">
        <f>L94*C94</f>
        <v/>
      </c>
      <c r="N94" s="323" t="n"/>
    </row>
    <row r="95" ht="14.5" customHeight="1" thickBot="1">
      <c r="A95" s="81" t="n">
        <v>6002706</v>
      </c>
      <c r="B95" s="81" t="inlineStr">
        <is>
          <t>FRAMBUESA DOBLE CHOCO 24 UN X 160 GR GIO</t>
        </is>
      </c>
      <c r="C95" s="10" t="n">
        <v>0</v>
      </c>
      <c r="D95" s="299" t="n"/>
      <c r="E95" s="106">
        <f>VLOOKUP(A95,MATERIALES!A491:D527,4,0)</f>
        <v/>
      </c>
      <c r="F95" s="97">
        <f>C95*E95</f>
        <v/>
      </c>
      <c r="G95" s="101">
        <f>F95*1.21</f>
        <v/>
      </c>
      <c r="H95" s="96">
        <f>VLOOKUP(A95,MATERIALES!$A:$E,5,0)</f>
        <v/>
      </c>
      <c r="I95" s="102">
        <f>C95*H95</f>
        <v/>
      </c>
      <c r="J95" s="299" t="n"/>
      <c r="K95" s="181" t="inlineStr">
        <is>
          <t>ALIM.CONGELADOS CAJAS GRANDES</t>
        </is>
      </c>
      <c r="L95" s="33" t="n">
        <v>1.2</v>
      </c>
      <c r="M95" s="1">
        <f>L95*C95</f>
        <v/>
      </c>
      <c r="N95" s="323" t="n"/>
    </row>
    <row r="96" ht="14.5" customHeight="1" thickBot="1">
      <c r="A96" s="81" t="n">
        <v>6002707</v>
      </c>
      <c r="B96" s="81" t="inlineStr">
        <is>
          <t>FRUTILLA BAÑADA C/CHOC 24 UNX 160 GR GI</t>
        </is>
      </c>
      <c r="C96" s="10" t="n">
        <v>0</v>
      </c>
      <c r="D96" s="299" t="n"/>
      <c r="E96" s="106">
        <f>VLOOKUP(A96,MATERIALES!A492:D528,4,0)</f>
        <v/>
      </c>
      <c r="F96" s="97">
        <f>C96*E96</f>
        <v/>
      </c>
      <c r="G96" s="101">
        <f>F96*1.21</f>
        <v/>
      </c>
      <c r="H96" s="96">
        <f>VLOOKUP(A96,MATERIALES!$A:$E,5,0)</f>
        <v/>
      </c>
      <c r="I96" s="102">
        <f>C96*H96</f>
        <v/>
      </c>
      <c r="J96" s="299" t="n"/>
      <c r="K96" s="181" t="inlineStr">
        <is>
          <t>ALIM.CONGELADOS CAJAS GRANDES</t>
        </is>
      </c>
      <c r="L96" s="33" t="n">
        <v>1.2</v>
      </c>
      <c r="M96" s="1">
        <f>L96*C96</f>
        <v/>
      </c>
      <c r="N96" s="323" t="n"/>
    </row>
    <row r="97" ht="14.5" customHeight="1" thickBot="1">
      <c r="A97" s="81" t="n">
        <v>6003173</v>
      </c>
      <c r="B97" s="81" t="inlineStr">
        <is>
          <t>PACK 16 PAPAS FR MCCAIN CRINKLE X 600G</t>
        </is>
      </c>
      <c r="C97" s="10" t="n">
        <v>0</v>
      </c>
      <c r="D97" s="299" t="n"/>
      <c r="E97" s="106">
        <f>VLOOKUP(A97,MATERIALES!A493:D529,4,0)</f>
        <v/>
      </c>
      <c r="F97" s="97">
        <f>C97*E97</f>
        <v/>
      </c>
      <c r="G97" s="101">
        <f>F97*1.21</f>
        <v/>
      </c>
      <c r="H97" s="96">
        <f>VLOOKUP(A97,MATERIALES!$A:$E,5,0)</f>
        <v/>
      </c>
      <c r="I97" s="102">
        <f>C97*H97</f>
        <v/>
      </c>
      <c r="J97" s="299" t="n"/>
      <c r="K97" s="181" t="inlineStr">
        <is>
          <t>ALIM.CONGELADOS CAJAS GRANDES</t>
        </is>
      </c>
      <c r="L97" s="33" t="n">
        <v>1.2</v>
      </c>
      <c r="M97" s="1">
        <f>L97*C97</f>
        <v/>
      </c>
      <c r="N97" s="323" t="n"/>
    </row>
    <row r="98" ht="14.5" customHeight="1" thickBot="1">
      <c r="A98" s="81" t="n">
        <v>6003172</v>
      </c>
      <c r="B98" s="81" t="inlineStr">
        <is>
          <t>PACK 16 PAPAS FR MCCAIN NOISSETE X 600G</t>
        </is>
      </c>
      <c r="C98" s="10" t="n">
        <v>0</v>
      </c>
      <c r="D98" s="299" t="n"/>
      <c r="E98" s="106">
        <f>VLOOKUP(A98,MATERIALES!A494:D530,4,0)</f>
        <v/>
      </c>
      <c r="F98" s="97">
        <f>C98*E98</f>
        <v/>
      </c>
      <c r="G98" s="101">
        <f>F98*1.21</f>
        <v/>
      </c>
      <c r="H98" s="96">
        <f>VLOOKUP(A98,MATERIALES!$A:$E,5,0)</f>
        <v/>
      </c>
      <c r="I98" s="102">
        <f>C98*H98</f>
        <v/>
      </c>
      <c r="J98" s="299" t="n"/>
      <c r="K98" s="181" t="inlineStr">
        <is>
          <t>ALIM.CONGELADOS CAJAS GRANDES</t>
        </is>
      </c>
      <c r="L98" s="33" t="n">
        <v>1.2</v>
      </c>
      <c r="M98" s="1">
        <f>L98*C98</f>
        <v/>
      </c>
      <c r="N98" s="323" t="n"/>
    </row>
    <row r="99" ht="14.5" customHeight="1" thickBot="1">
      <c r="A99" s="81" t="n">
        <v>6003171</v>
      </c>
      <c r="B99" s="81" t="inlineStr">
        <is>
          <t>PACK 16 PAPAS FR MCCAIN CORT TRAD X 700G</t>
        </is>
      </c>
      <c r="C99" s="10" t="n">
        <v>0</v>
      </c>
      <c r="D99" s="299" t="n"/>
      <c r="E99" s="106">
        <f>VLOOKUP(A99,MATERIALES!A495:D531,4,0)</f>
        <v/>
      </c>
      <c r="F99" s="97">
        <f>C99*E99</f>
        <v/>
      </c>
      <c r="G99" s="101">
        <f>F99*1.21</f>
        <v/>
      </c>
      <c r="H99" s="96">
        <f>VLOOKUP(A99,MATERIALES!$A:$E,5,0)</f>
        <v/>
      </c>
      <c r="I99" s="102">
        <f>C99*H99</f>
        <v/>
      </c>
      <c r="J99" s="299" t="n"/>
      <c r="K99" s="181" t="inlineStr">
        <is>
          <t>ALIM.CONGELADOS CAJAS GRANDES</t>
        </is>
      </c>
      <c r="L99" s="33" t="n">
        <v>1.2</v>
      </c>
      <c r="M99" s="1">
        <f>L99*C99</f>
        <v/>
      </c>
      <c r="N99" s="323" t="n"/>
    </row>
    <row r="100" ht="14.5" customHeight="1" thickBot="1">
      <c r="A100" s="81" t="n">
        <v>6002842</v>
      </c>
      <c r="B100" s="81" t="inlineStr">
        <is>
          <t>MEDIALUNA  X 144 UN FUDY</t>
        </is>
      </c>
      <c r="C100" s="10" t="n">
        <v>0</v>
      </c>
      <c r="D100" s="299" t="n"/>
      <c r="E100" s="106">
        <f>VLOOKUP(A100,MATERIALES!A496:D532,4,0)</f>
        <v/>
      </c>
      <c r="F100" s="97">
        <f>C100*E100</f>
        <v/>
      </c>
      <c r="G100" s="101">
        <f>F100*1.21</f>
        <v/>
      </c>
      <c r="H100" s="96">
        <f>VLOOKUP(A100,MATERIALES!$A:$E,5,0)</f>
        <v/>
      </c>
      <c r="I100" s="102">
        <f>C100*H100</f>
        <v/>
      </c>
      <c r="J100" s="312" t="n"/>
      <c r="K100" s="182" t="inlineStr">
        <is>
          <t>ALIM.CONGELADOS CAJAS GRANDES</t>
        </is>
      </c>
      <c r="L100" s="33" t="n">
        <v>1.2</v>
      </c>
      <c r="M100" s="1">
        <f>L100*C100</f>
        <v/>
      </c>
      <c r="N100" s="323" t="n"/>
    </row>
    <row r="101" ht="14.5" customHeight="1" thickBot="1">
      <c r="A101" s="78" t="n">
        <v>6002435</v>
      </c>
      <c r="B101" s="78" t="inlineStr">
        <is>
          <t>BOCADITOS FRUTILLAS DOBLE CHOC. 24 UN</t>
        </is>
      </c>
      <c r="C101" s="10" t="n">
        <v>0</v>
      </c>
      <c r="D101" s="319">
        <f>SUM(C101:C126)</f>
        <v/>
      </c>
      <c r="E101" s="206">
        <f>VLOOKUP(A101,MATERIALES!A497:D533,4,0)</f>
        <v/>
      </c>
      <c r="F101" s="97">
        <f>C101*E101</f>
        <v/>
      </c>
      <c r="G101" s="101">
        <f>F101*1.21</f>
        <v/>
      </c>
      <c r="H101" s="96">
        <f>VLOOKUP(A101,MATERIALES!$A:$E,5,0)</f>
        <v/>
      </c>
      <c r="I101" s="102">
        <f>C101*H101</f>
        <v/>
      </c>
      <c r="J101" s="231" t="n">
        <v>5</v>
      </c>
      <c r="K101" s="183" t="inlineStr">
        <is>
          <t>ALIM.CONGELADOS CAJAS CHICAS</t>
        </is>
      </c>
      <c r="L101" s="33" t="n">
        <v>0.6</v>
      </c>
      <c r="M101" s="1">
        <f>L101*C101</f>
        <v/>
      </c>
      <c r="N101" s="323" t="n"/>
    </row>
    <row r="102" ht="14.5" customHeight="1" thickBot="1">
      <c r="A102" s="78" t="n">
        <v>6002434</v>
      </c>
      <c r="B102" s="78" t="inlineStr">
        <is>
          <t>BOCADITOS FRAMBUESAS DOBLE CHOC. 24 UN</t>
        </is>
      </c>
      <c r="C102" s="10" t="n">
        <v>0</v>
      </c>
      <c r="D102" s="299" t="n"/>
      <c r="E102" s="206">
        <f>VLOOKUP(A102,MATERIALES!A498:D534,4,0)</f>
        <v/>
      </c>
      <c r="F102" s="97">
        <f>C102*E102</f>
        <v/>
      </c>
      <c r="G102" s="101">
        <f>F102*1.21</f>
        <v/>
      </c>
      <c r="H102" s="96">
        <f>VLOOKUP(A102,MATERIALES!$A:$E,5,0)</f>
        <v/>
      </c>
      <c r="I102" s="102">
        <f>C102*H102</f>
        <v/>
      </c>
      <c r="J102" s="299" t="n"/>
      <c r="K102" s="183" t="inlineStr">
        <is>
          <t>ALIM.CONGELADOS CAJAS CHICAS</t>
        </is>
      </c>
      <c r="L102" s="33" t="n">
        <v>0.6</v>
      </c>
      <c r="M102" s="1">
        <f>L102*C102</f>
        <v/>
      </c>
      <c r="N102" s="323" t="n"/>
    </row>
    <row r="103" ht="14.5" customHeight="1" thickBot="1">
      <c r="A103" s="118" t="n">
        <v>6003154</v>
      </c>
      <c r="B103" s="118" t="inlineStr">
        <is>
          <t>DUL. EQUI CHOC 80 G - CAJA 12 U - GR</t>
        </is>
      </c>
      <c r="C103" s="10" t="n">
        <v>0</v>
      </c>
      <c r="D103" s="299" t="n"/>
      <c r="E103" s="206">
        <f>VLOOKUP(A103,MATERIALES!A502:D538,4,0)</f>
        <v/>
      </c>
      <c r="F103" s="97">
        <f>C103*E103</f>
        <v/>
      </c>
      <c r="G103" s="101">
        <f>F103*1.21</f>
        <v/>
      </c>
      <c r="H103" s="96">
        <f>VLOOKUP(A103,MATERIALES!$A:$E,5,0)</f>
        <v/>
      </c>
      <c r="I103" s="102">
        <f>C103*H103</f>
        <v/>
      </c>
      <c r="J103" s="299" t="n"/>
      <c r="K103" s="183" t="inlineStr">
        <is>
          <t>ALIM.CONGELADOS CAJAS CHICAS</t>
        </is>
      </c>
      <c r="L103" s="33" t="n">
        <v>0.6</v>
      </c>
      <c r="M103" s="1">
        <f>L103*C103</f>
        <v/>
      </c>
      <c r="N103" s="323" t="n"/>
    </row>
    <row r="104" ht="14.5" customHeight="1" thickBot="1">
      <c r="A104" s="118" t="n">
        <v>6003180</v>
      </c>
      <c r="B104" s="118" t="inlineStr">
        <is>
          <t>DUL. EQUI AMER C/DUR 80G- CAJA 12 U- GR</t>
        </is>
      </c>
      <c r="C104" s="10" t="n">
        <v>0</v>
      </c>
      <c r="D104" s="299" t="n"/>
      <c r="E104" s="206">
        <f>VLOOKUP(A104,MATERIALES!A503:D539,4,0)</f>
        <v/>
      </c>
      <c r="F104" s="97">
        <f>C104*E104</f>
        <v/>
      </c>
      <c r="G104" s="101">
        <f>F104*1.21</f>
        <v/>
      </c>
      <c r="H104" s="96">
        <f>VLOOKUP(A104,MATERIALES!$A:$E,5,0)</f>
        <v/>
      </c>
      <c r="I104" s="102">
        <f>C104*H104</f>
        <v/>
      </c>
      <c r="J104" s="299" t="n"/>
      <c r="K104" s="183" t="inlineStr">
        <is>
          <t>ALIM.CONGELADOS CAJAS CHICAS</t>
        </is>
      </c>
      <c r="L104" s="33" t="n">
        <v>0.6</v>
      </c>
      <c r="M104" s="1">
        <f>L104*C104</f>
        <v/>
      </c>
      <c r="N104" s="323" t="n"/>
    </row>
    <row r="105" ht="14.5" customHeight="1" thickBot="1">
      <c r="A105" s="118" t="n">
        <v>6003155</v>
      </c>
      <c r="B105" s="118" t="inlineStr">
        <is>
          <t>DUL. EQUI FRUTI 80 G - CAJA 12 U - GR</t>
        </is>
      </c>
      <c r="C105" s="10" t="n">
        <v>0</v>
      </c>
      <c r="D105" s="299" t="n"/>
      <c r="E105" s="206" t="n">
        <v>0.42</v>
      </c>
      <c r="F105" s="97">
        <f>C105*E105</f>
        <v/>
      </c>
      <c r="G105" s="101">
        <f>F105*1.21</f>
        <v/>
      </c>
      <c r="H105" s="96" t="n">
        <v>0</v>
      </c>
      <c r="I105" s="102">
        <f>C105*H105</f>
        <v/>
      </c>
      <c r="J105" s="299" t="n"/>
      <c r="K105" s="183" t="inlineStr">
        <is>
          <t>ALIM.CONGELADOS CAJAS CHICAS</t>
        </is>
      </c>
      <c r="L105" s="33" t="n">
        <v>0.6</v>
      </c>
      <c r="M105" s="1">
        <f>L105*C105</f>
        <v/>
      </c>
      <c r="N105" s="323" t="n"/>
    </row>
    <row r="106" ht="14.5" customHeight="1" thickBot="1">
      <c r="A106" s="118" t="n">
        <v>6003156</v>
      </c>
      <c r="B106" s="118" t="inlineStr">
        <is>
          <t>DUL. EQUI D.LECHE 80 G - CAJA 12 U - GR</t>
        </is>
      </c>
      <c r="C106" s="10" t="n">
        <v>0</v>
      </c>
      <c r="D106" s="299" t="n"/>
      <c r="E106" s="206" t="n">
        <v>0.42</v>
      </c>
      <c r="F106" s="97">
        <f>C106*E106</f>
        <v/>
      </c>
      <c r="G106" s="101">
        <f>F106*1.21</f>
        <v/>
      </c>
      <c r="H106" s="96" t="n">
        <v>0</v>
      </c>
      <c r="I106" s="102">
        <f>C106*H106</f>
        <v/>
      </c>
      <c r="J106" s="299" t="n"/>
      <c r="K106" s="183" t="inlineStr">
        <is>
          <t>ALIM.CONGELADOS CAJAS CHICAS</t>
        </is>
      </c>
      <c r="L106" s="33" t="n">
        <v>0.6</v>
      </c>
      <c r="M106" s="1">
        <f>L106*C106</f>
        <v/>
      </c>
      <c r="N106" s="323" t="n"/>
    </row>
    <row r="107" ht="14.5" customHeight="1" thickBot="1">
      <c r="A107" s="78" t="n">
        <v>6003055</v>
      </c>
      <c r="B107" s="78" t="inlineStr">
        <is>
          <t>SUNDAE GO TOPING SHOT X 80 UN</t>
        </is>
      </c>
      <c r="C107" s="10" t="n">
        <v>0</v>
      </c>
      <c r="D107" s="299" t="n"/>
      <c r="E107" s="206">
        <f>VLOOKUP(A107,MATERIALES!A504:D540,4,0)</f>
        <v/>
      </c>
      <c r="F107" s="97">
        <f>C107*E107</f>
        <v/>
      </c>
      <c r="G107" s="101">
        <f>F107*1.21</f>
        <v/>
      </c>
      <c r="H107" s="96">
        <f>VLOOKUP(A107,MATERIALES!$A:$E,5,0)</f>
        <v/>
      </c>
      <c r="I107" s="102">
        <f>C107*H107</f>
        <v/>
      </c>
      <c r="J107" s="299" t="n"/>
      <c r="K107" s="183" t="inlineStr">
        <is>
          <t>ALIM.CONGELADOS CAJAS CHICAS</t>
        </is>
      </c>
      <c r="L107" s="33" t="n">
        <v>0.6</v>
      </c>
      <c r="M107" s="1">
        <f>L107*C107</f>
        <v/>
      </c>
      <c r="N107" s="323" t="n"/>
    </row>
    <row r="108" ht="14.5" customHeight="1" thickBot="1">
      <c r="A108" s="79" t="n">
        <v>6003150</v>
      </c>
      <c r="B108" s="79" t="inlineStr">
        <is>
          <t>CHOCOLATE C/ LECHE EX STICKS x 5 KG</t>
        </is>
      </c>
      <c r="C108" s="10" t="n">
        <v>0</v>
      </c>
      <c r="D108" s="299" t="n"/>
      <c r="E108" s="206">
        <f>VLOOKUP(A108,MATERIALES!A505:D541,4,0)</f>
        <v/>
      </c>
      <c r="F108" s="97">
        <f>C108*E108</f>
        <v/>
      </c>
      <c r="G108" s="101">
        <f>F108*1.21</f>
        <v/>
      </c>
      <c r="H108" s="96">
        <f>VLOOKUP(A108,MATERIALES!$A:$E,5,0)</f>
        <v/>
      </c>
      <c r="I108" s="102">
        <f>C108*H108</f>
        <v/>
      </c>
      <c r="J108" s="299" t="n"/>
      <c r="K108" s="183" t="inlineStr">
        <is>
          <t>ALIM.CONGELADOS CAJAS CHICAS</t>
        </is>
      </c>
      <c r="L108" s="33" t="n">
        <v>0.6</v>
      </c>
      <c r="M108" s="1">
        <f>L108*C108</f>
        <v/>
      </c>
      <c r="N108" s="323" t="n"/>
    </row>
    <row r="109" ht="14.5" customHeight="1" thickBot="1">
      <c r="A109" s="78" t="n">
        <v>6003152</v>
      </c>
      <c r="B109" s="78" t="inlineStr">
        <is>
          <t>YOG HEL FRUTILLA 80 G - CAJA 12 U - GR</t>
        </is>
      </c>
      <c r="C109" s="10" t="n">
        <v>0</v>
      </c>
      <c r="D109" s="299" t="n"/>
      <c r="E109" s="206">
        <f>VLOOKUP(A109,MATERIALES!A506:D542,4,0)</f>
        <v/>
      </c>
      <c r="F109" s="97">
        <f>C109*E109</f>
        <v/>
      </c>
      <c r="G109" s="101">
        <f>F109*1.21</f>
        <v/>
      </c>
      <c r="H109" s="96">
        <f>VLOOKUP(A109,MATERIALES!$A:$E,5,0)</f>
        <v/>
      </c>
      <c r="I109" s="102">
        <f>C109*H109</f>
        <v/>
      </c>
      <c r="J109" s="299" t="n"/>
      <c r="K109" s="183" t="inlineStr">
        <is>
          <t>ALIM.CONGELADOS CAJAS CHICAS</t>
        </is>
      </c>
      <c r="L109" s="33" t="n">
        <v>0.6</v>
      </c>
      <c r="M109" s="1">
        <f>L109*C109</f>
        <v/>
      </c>
      <c r="N109" s="323" t="n"/>
    </row>
    <row r="110" ht="14.5" customHeight="1" thickBot="1">
      <c r="A110" s="78" t="n">
        <v>6003151</v>
      </c>
      <c r="B110" s="78" t="inlineStr">
        <is>
          <t>YOG HEL FRUT. BOS 80 G - CAJA 12 U - GR</t>
        </is>
      </c>
      <c r="C110" s="10" t="n">
        <v>0</v>
      </c>
      <c r="D110" s="299" t="n"/>
      <c r="E110" s="206">
        <f>VLOOKUP(A110,MATERIALES!A507:D543,4,0)</f>
        <v/>
      </c>
      <c r="F110" s="97">
        <f>C110*E110</f>
        <v/>
      </c>
      <c r="G110" s="101">
        <f>F110*1.21</f>
        <v/>
      </c>
      <c r="H110" s="96">
        <f>VLOOKUP(A110,MATERIALES!$A:$E,5,0)</f>
        <v/>
      </c>
      <c r="I110" s="102">
        <f>C110*H110</f>
        <v/>
      </c>
      <c r="J110" s="299" t="n"/>
      <c r="K110" s="183" t="inlineStr">
        <is>
          <t>ALIM.CONGELADOS CAJAS CHICAS</t>
        </is>
      </c>
      <c r="L110" s="33" t="n">
        <v>0.6</v>
      </c>
      <c r="M110" s="1">
        <f>L110*C110</f>
        <v/>
      </c>
      <c r="N110" s="323" t="n"/>
    </row>
    <row r="111" ht="14.5" customHeight="1" thickBot="1">
      <c r="A111" s="78" t="n">
        <v>6003153</v>
      </c>
      <c r="B111" s="78" t="inlineStr">
        <is>
          <t>YOG HEL MAN/MAR 80 G - CAJA 12 U - GR</t>
        </is>
      </c>
      <c r="C111" s="10" t="n">
        <v>0</v>
      </c>
      <c r="D111" s="299" t="n"/>
      <c r="E111" s="206">
        <f>VLOOKUP(A111,MATERIALES!A508:D544,4,0)</f>
        <v/>
      </c>
      <c r="F111" s="97">
        <f>C111*E111</f>
        <v/>
      </c>
      <c r="G111" s="101">
        <f>F111*1.21</f>
        <v/>
      </c>
      <c r="H111" s="96">
        <f>VLOOKUP(A111,MATERIALES!$A:$E,5,0)</f>
        <v/>
      </c>
      <c r="I111" s="102">
        <f>C111*H111</f>
        <v/>
      </c>
      <c r="J111" s="299" t="n"/>
      <c r="K111" s="183" t="inlineStr">
        <is>
          <t>ALIM.CONGELADOS CAJAS CHICAS</t>
        </is>
      </c>
      <c r="L111" s="33" t="n">
        <v>0.6</v>
      </c>
      <c r="M111" s="1">
        <f>L111*C111</f>
        <v/>
      </c>
      <c r="N111" s="323" t="n"/>
    </row>
    <row r="112" ht="14.5" customHeight="1" thickBot="1">
      <c r="A112" s="78" t="n">
        <v>6002712</v>
      </c>
      <c r="B112" s="78" t="inlineStr">
        <is>
          <t>SMOOTHIE N°6 KW-AN-DR THE SUBLIM x 14 U</t>
        </is>
      </c>
      <c r="C112" s="10" t="n">
        <v>0</v>
      </c>
      <c r="D112" s="299" t="n"/>
      <c r="E112" s="206">
        <f>VLOOKUP(A112,MATERIALES!A509:D545,4,0)</f>
        <v/>
      </c>
      <c r="F112" s="97">
        <f>C112*E112</f>
        <v/>
      </c>
      <c r="G112" s="101">
        <f>F112*1.21</f>
        <v/>
      </c>
      <c r="H112" s="96">
        <f>VLOOKUP(A112,MATERIALES!$A:$E,5,0)</f>
        <v/>
      </c>
      <c r="I112" s="102">
        <f>C112*H112</f>
        <v/>
      </c>
      <c r="J112" s="299" t="n"/>
      <c r="K112" s="183" t="inlineStr">
        <is>
          <t>ALIM.CONGELADOS CAJAS CHICAS</t>
        </is>
      </c>
      <c r="L112" s="33" t="n">
        <v>0.6</v>
      </c>
      <c r="M112" s="1">
        <f>L112*C112</f>
        <v/>
      </c>
      <c r="N112" s="323" t="n"/>
    </row>
    <row r="113" ht="14.5" customHeight="1" thickBot="1">
      <c r="A113" s="78" t="n">
        <v>6002713</v>
      </c>
      <c r="B113" s="78" t="inlineStr">
        <is>
          <t>SMOOTHIE N°7 AR-FR-BN BLUE SUNSETx 14 U</t>
        </is>
      </c>
      <c r="C113" s="10" t="n">
        <v>0</v>
      </c>
      <c r="D113" s="299" t="n"/>
      <c r="E113" s="206">
        <f>VLOOKUP(A113,MATERIALES!A510:D546,4,0)</f>
        <v/>
      </c>
      <c r="F113" s="97">
        <f>C113*E113</f>
        <v/>
      </c>
      <c r="G113" s="101">
        <f>F113*1.21</f>
        <v/>
      </c>
      <c r="H113" s="96">
        <f>VLOOKUP(A113,MATERIALES!$A:$E,5,0)</f>
        <v/>
      </c>
      <c r="I113" s="102">
        <f>C113*H113</f>
        <v/>
      </c>
      <c r="J113" s="299" t="n"/>
      <c r="K113" s="183" t="inlineStr">
        <is>
          <t>ALIM.CONGELADOS CAJAS CHICAS</t>
        </is>
      </c>
      <c r="L113" s="33" t="n">
        <v>0.6</v>
      </c>
      <c r="M113" s="1">
        <f>L113*C113</f>
        <v/>
      </c>
      <c r="N113" s="323" t="n"/>
    </row>
    <row r="114" ht="15" customHeight="1" thickBot="1">
      <c r="A114" s="78" t="n">
        <v>6002714</v>
      </c>
      <c r="B114" s="78" t="inlineStr">
        <is>
          <t>SMOOTHIE N°1 MG-FR-BN COOL MANGO x 14 U</t>
        </is>
      </c>
      <c r="C114" s="10" t="n">
        <v>0</v>
      </c>
      <c r="D114" s="299" t="n"/>
      <c r="E114" s="206">
        <f>VLOOKUP(A114,MATERIALES!A511:D547,4,0)</f>
        <v/>
      </c>
      <c r="F114" s="97">
        <f>C114*E114</f>
        <v/>
      </c>
      <c r="G114" s="101">
        <f>F114*1.21</f>
        <v/>
      </c>
      <c r="H114" s="96">
        <f>VLOOKUP(A114,MATERIALES!$A:$E,5,0)</f>
        <v/>
      </c>
      <c r="I114" s="102">
        <f>C114*H114</f>
        <v/>
      </c>
      <c r="J114" s="299" t="n"/>
      <c r="K114" s="183" t="inlineStr">
        <is>
          <t>ALIM.CONGELADOS CAJAS CHICAS</t>
        </is>
      </c>
      <c r="L114" s="33" t="n">
        <v>0.6</v>
      </c>
      <c r="M114" s="1">
        <f>L114*C114</f>
        <v/>
      </c>
      <c r="N114" s="323" t="n"/>
    </row>
    <row r="115" ht="14.5" customHeight="1" thickBot="1">
      <c r="A115" s="78" t="n">
        <v>6002715</v>
      </c>
      <c r="B115" s="78" t="inlineStr">
        <is>
          <t>SMOOTHIE N°4 DR-AN-FR VITA LIGHT x 14 U</t>
        </is>
      </c>
      <c r="C115" s="10" t="n">
        <v>0</v>
      </c>
      <c r="D115" s="299" t="n"/>
      <c r="E115" s="206">
        <f>VLOOKUP(A115,MATERIALES!A512:D548,4,0)</f>
        <v/>
      </c>
      <c r="F115" s="97">
        <f>C115*E115</f>
        <v/>
      </c>
      <c r="G115" s="101">
        <f>F115*1.21</f>
        <v/>
      </c>
      <c r="H115" s="96">
        <f>VLOOKUP(A115,MATERIALES!$A:$E,5,0)</f>
        <v/>
      </c>
      <c r="I115" s="102">
        <f>C115*H115</f>
        <v/>
      </c>
      <c r="J115" s="299" t="n"/>
      <c r="K115" s="183" t="inlineStr">
        <is>
          <t>ALIM.CONGELADOS CAJAS CHICAS</t>
        </is>
      </c>
      <c r="L115" s="33" t="n">
        <v>0.6</v>
      </c>
      <c r="M115" s="1">
        <f>L115*C115</f>
        <v/>
      </c>
      <c r="N115" s="323" t="n"/>
    </row>
    <row r="116" ht="14.5" customHeight="1" thickBot="1">
      <c r="A116" s="79" t="n">
        <v>6002847</v>
      </c>
      <c r="B116" s="79" t="inlineStr">
        <is>
          <t>SMOOTHIE NÂ°3MR-AN-DR PASION BLENDx 14 U</t>
        </is>
      </c>
      <c r="C116" s="10" t="n">
        <v>0</v>
      </c>
      <c r="D116" s="299" t="n"/>
      <c r="E116" s="206">
        <f>VLOOKUP(A116,MATERIALES!A513:D549,4,0)</f>
        <v/>
      </c>
      <c r="F116" s="97">
        <f>C116*E116</f>
        <v/>
      </c>
      <c r="G116" s="101">
        <f>F116*1.21</f>
        <v/>
      </c>
      <c r="H116" s="96">
        <f>VLOOKUP(A116,MATERIALES!$A:$E,5,0)</f>
        <v/>
      </c>
      <c r="I116" s="102">
        <f>C116*H116</f>
        <v/>
      </c>
      <c r="J116" s="299" t="n"/>
      <c r="K116" s="183" t="inlineStr">
        <is>
          <t>ALIM.CONGELADOS CAJAS CHICAS</t>
        </is>
      </c>
      <c r="L116" s="33" t="n">
        <v>0.6</v>
      </c>
      <c r="M116" s="1">
        <f>L116*C116</f>
        <v/>
      </c>
      <c r="N116" s="323" t="n"/>
    </row>
    <row r="117" ht="14.5" customHeight="1" thickBot="1">
      <c r="A117" s="78" t="n">
        <v>6003158</v>
      </c>
      <c r="B117" s="78" t="inlineStr">
        <is>
          <t>POSTRE VEG. MANI 80 G - CAJA 12 U - GR</t>
        </is>
      </c>
      <c r="C117" s="10" t="n">
        <v>0</v>
      </c>
      <c r="D117" s="299" t="n"/>
      <c r="E117" s="206">
        <f>VLOOKUP(A117,MATERIALES!A514:D550,4,0)</f>
        <v/>
      </c>
      <c r="F117" s="97">
        <f>C117*E117</f>
        <v/>
      </c>
      <c r="G117" s="101">
        <f>F117*1.21</f>
        <v/>
      </c>
      <c r="H117" s="96">
        <f>VLOOKUP(A117,MATERIALES!$A:$E,5,0)</f>
        <v/>
      </c>
      <c r="I117" s="102">
        <f>C117*H117</f>
        <v/>
      </c>
      <c r="J117" s="299" t="n"/>
      <c r="K117" s="183" t="inlineStr">
        <is>
          <t>ALIM.CONGELADOS CAJAS CHICAS</t>
        </is>
      </c>
      <c r="L117" s="33" t="n">
        <v>0.6</v>
      </c>
      <c r="M117" s="1">
        <f>L117*C117</f>
        <v/>
      </c>
      <c r="N117" s="323" t="n"/>
    </row>
    <row r="118" ht="14.5" customHeight="1" thickBot="1">
      <c r="A118" s="78" t="n">
        <v>6003157</v>
      </c>
      <c r="B118" s="78" t="inlineStr">
        <is>
          <t>POSTRE VEG. CHOCO 80 G - CAJA 12 U - GR</t>
        </is>
      </c>
      <c r="C118" s="10" t="n">
        <v>0</v>
      </c>
      <c r="D118" s="299" t="n"/>
      <c r="E118" s="206">
        <f>VLOOKUP(A118,MATERIALES!A515:D551,4,0)</f>
        <v/>
      </c>
      <c r="F118" s="97">
        <f>C118*E118</f>
        <v/>
      </c>
      <c r="G118" s="101">
        <f>F118*1.21</f>
        <v/>
      </c>
      <c r="H118" s="96">
        <f>VLOOKUP(A118,MATERIALES!$A:$E,5,0)</f>
        <v/>
      </c>
      <c r="I118" s="102">
        <f>C118*H118</f>
        <v/>
      </c>
      <c r="J118" s="299" t="n"/>
      <c r="K118" s="183" t="inlineStr">
        <is>
          <t>ALIM.CONGELADOS CAJAS CHICAS</t>
        </is>
      </c>
      <c r="L118" s="33" t="n">
        <v>0.6</v>
      </c>
      <c r="M118" s="1">
        <f>L118*C118</f>
        <v/>
      </c>
      <c r="N118" s="323" t="n"/>
    </row>
    <row r="119" ht="14.5" customHeight="1" thickBot="1">
      <c r="A119" s="78" t="n">
        <v>6003159</v>
      </c>
      <c r="B119" s="78" t="inlineStr">
        <is>
          <t>POSTRE VEG. VANILL 80 G - CAJA 12 U - GR</t>
        </is>
      </c>
      <c r="C119" s="10" t="n">
        <v>0</v>
      </c>
      <c r="D119" s="299" t="n"/>
      <c r="E119" s="206">
        <f>VLOOKUP(A119,MATERIALES!A516:D552,4,0)</f>
        <v/>
      </c>
      <c r="F119" s="97">
        <f>C119*E119</f>
        <v/>
      </c>
      <c r="G119" s="101">
        <f>F119*1.21</f>
        <v/>
      </c>
      <c r="H119" s="96">
        <f>VLOOKUP(A119,MATERIALES!$A:$E,5,0)</f>
        <v/>
      </c>
      <c r="I119" s="102">
        <f>C119*H119</f>
        <v/>
      </c>
      <c r="J119" s="299" t="n"/>
      <c r="K119" s="183" t="inlineStr">
        <is>
          <t>ALIM.CONGELADOS CAJAS CHICAS</t>
        </is>
      </c>
      <c r="L119" s="33" t="n">
        <v>0.6</v>
      </c>
      <c r="M119" s="1">
        <f>L119*C119</f>
        <v/>
      </c>
      <c r="N119" s="323" t="n"/>
    </row>
    <row r="120" ht="16" customHeight="1" thickBot="1">
      <c r="A120" s="78" t="n">
        <v>6002820</v>
      </c>
      <c r="B120" s="78" t="inlineStr">
        <is>
          <t>PAN DE QUESO (CHIPA) GRANEL FUDY X 90 UN</t>
        </is>
      </c>
      <c r="C120" s="10" t="n">
        <v>0</v>
      </c>
      <c r="D120" s="299" t="n"/>
      <c r="E120" s="206" t="n">
        <v>1.1</v>
      </c>
      <c r="F120" s="97">
        <f>C120*E120</f>
        <v/>
      </c>
      <c r="G120" s="101">
        <f>F120*1.21</f>
        <v/>
      </c>
      <c r="H120" s="96">
        <f>VLOOKUP(A120,MATERIALES!$A:$E,5,0)</f>
        <v/>
      </c>
      <c r="I120" s="102">
        <f>C120*H120</f>
        <v/>
      </c>
      <c r="J120" s="299" t="n"/>
      <c r="K120" s="183" t="inlineStr">
        <is>
          <t>ALIM.CONGELADOS CAJAS CHICAS</t>
        </is>
      </c>
      <c r="L120" s="33" t="n">
        <v>0.6</v>
      </c>
      <c r="M120" s="1">
        <f>L120*C120</f>
        <v/>
      </c>
      <c r="N120" s="323" t="n"/>
    </row>
    <row r="121" ht="16" customHeight="1" thickBot="1">
      <c r="A121" s="78" t="n">
        <v>6002821</v>
      </c>
      <c r="B121" s="78" t="inlineStr">
        <is>
          <t>BUDIN LIMON GLASEADO GR FUDY X 30 UN</t>
        </is>
      </c>
      <c r="C121" s="10" t="n">
        <v>0</v>
      </c>
      <c r="D121" s="299" t="n"/>
      <c r="E121" s="206" t="n">
        <v>2</v>
      </c>
      <c r="F121" s="97">
        <f>C121*E121</f>
        <v/>
      </c>
      <c r="G121" s="101">
        <f>F121*1.21</f>
        <v/>
      </c>
      <c r="H121" s="96">
        <f>VLOOKUP(A121,MATERIALES!$A:$E,5,0)</f>
        <v/>
      </c>
      <c r="I121" s="102">
        <f>C121*H121</f>
        <v/>
      </c>
      <c r="J121" s="299" t="n"/>
      <c r="K121" s="183" t="inlineStr">
        <is>
          <t>ALIM.CONGELADOS CAJAS CHICAS</t>
        </is>
      </c>
      <c r="L121" s="33" t="n">
        <v>0.6</v>
      </c>
      <c r="M121" s="1">
        <f>L121*C121</f>
        <v/>
      </c>
      <c r="N121" s="323" t="n"/>
    </row>
    <row r="122" ht="16" customHeight="1" thickBot="1">
      <c r="A122" s="78" t="n">
        <v>6002840</v>
      </c>
      <c r="B122" s="78" t="inlineStr">
        <is>
          <t>BUDIN MARMOLADO FLOWPACK X 20 UN FUDY</t>
        </is>
      </c>
      <c r="C122" s="10" t="n">
        <v>0</v>
      </c>
      <c r="D122" s="299" t="n"/>
      <c r="E122" s="206" t="n">
        <v>2</v>
      </c>
      <c r="F122" s="97">
        <f>C122*E122</f>
        <v/>
      </c>
      <c r="G122" s="101">
        <f>F122*1.21</f>
        <v/>
      </c>
      <c r="H122" s="96">
        <f>VLOOKUP(A122,MATERIALES!$A:$E,5,0)</f>
        <v/>
      </c>
      <c r="I122" s="102">
        <f>C122*H122</f>
        <v/>
      </c>
      <c r="J122" s="299" t="n"/>
      <c r="K122" s="183" t="inlineStr">
        <is>
          <t>ALIM.CONGELADOS CAJAS CHICAS</t>
        </is>
      </c>
      <c r="L122" s="33" t="n">
        <v>0.6</v>
      </c>
      <c r="M122" s="1">
        <f>L122*C122</f>
        <v/>
      </c>
      <c r="N122" s="323" t="n"/>
    </row>
    <row r="123" ht="16" customHeight="1" thickBot="1">
      <c r="A123" s="78" t="n">
        <v>6002854</v>
      </c>
      <c r="B123" s="78" t="inlineStr">
        <is>
          <t>BUDIN LIMON C/ AMAPOLA X 20 UN FUDY</t>
        </is>
      </c>
      <c r="C123" s="10" t="n">
        <v>0</v>
      </c>
      <c r="D123" s="299" t="n"/>
      <c r="E123" s="206" t="n">
        <v>2</v>
      </c>
      <c r="F123" s="97">
        <f>C123*E123</f>
        <v/>
      </c>
      <c r="G123" s="101">
        <f>F123*1.21</f>
        <v/>
      </c>
      <c r="H123" s="96">
        <f>VLOOKUP(A123,MATERIALES!$A:$E,5,0)</f>
        <v/>
      </c>
      <c r="I123" s="102">
        <f>C123*H123</f>
        <v/>
      </c>
      <c r="J123" s="299" t="n"/>
      <c r="K123" s="183" t="inlineStr">
        <is>
          <t>ALIM.CONGELADOS CAJAS CHICAS</t>
        </is>
      </c>
      <c r="L123" s="33" t="n">
        <v>0.6</v>
      </c>
      <c r="M123" s="1">
        <f>L123*C123</f>
        <v/>
      </c>
      <c r="N123" s="323" t="n"/>
    </row>
    <row r="124" ht="16" customHeight="1" thickBot="1">
      <c r="A124" s="78" t="n">
        <v>6002843</v>
      </c>
      <c r="B124" s="78" t="inlineStr">
        <is>
          <t>MUFFIN VAINILLA X 10 UN FUDY</t>
        </is>
      </c>
      <c r="C124" s="10" t="n">
        <v>0</v>
      </c>
      <c r="D124" s="299" t="n"/>
      <c r="E124" s="206" t="n">
        <v>2</v>
      </c>
      <c r="F124" s="97">
        <f>C124*E124</f>
        <v/>
      </c>
      <c r="G124" s="101">
        <f>F124*1.21</f>
        <v/>
      </c>
      <c r="H124" s="96">
        <f>VLOOKUP(A124,MATERIALES!$A:$E,5,0)</f>
        <v/>
      </c>
      <c r="I124" s="102">
        <f>C124*H124</f>
        <v/>
      </c>
      <c r="J124" s="299" t="n"/>
      <c r="K124" s="183" t="inlineStr">
        <is>
          <t>ALIM.CONGELADOS CAJAS CHICAS</t>
        </is>
      </c>
      <c r="L124" s="33" t="n">
        <v>0.6</v>
      </c>
      <c r="M124" s="1">
        <f>L124*C124</f>
        <v/>
      </c>
      <c r="N124" s="323" t="n"/>
    </row>
    <row r="125" ht="16" customHeight="1" thickBot="1">
      <c r="A125" s="78" t="n">
        <v>6002844</v>
      </c>
      <c r="B125" s="78" t="inlineStr">
        <is>
          <t>MUFFIN CHOCOLATE X 10 UN FUDY</t>
        </is>
      </c>
      <c r="C125" s="10" t="n">
        <v>0</v>
      </c>
      <c r="D125" s="299" t="n"/>
      <c r="E125" s="206" t="n">
        <v>2</v>
      </c>
      <c r="F125" s="97">
        <f>C125*E125</f>
        <v/>
      </c>
      <c r="G125" s="101">
        <f>F125*1.21</f>
        <v/>
      </c>
      <c r="H125" s="96">
        <f>VLOOKUP(A125,MATERIALES!$A:$E,5,0)</f>
        <v/>
      </c>
      <c r="I125" s="102">
        <f>C125*H125</f>
        <v/>
      </c>
      <c r="J125" s="299" t="n"/>
      <c r="K125" s="183" t="inlineStr">
        <is>
          <t>ALIM.CONGELADOS CAJAS CHICAS</t>
        </is>
      </c>
      <c r="L125" s="33" t="n">
        <v>0.6</v>
      </c>
      <c r="M125" s="1">
        <f>L125*C125</f>
        <v/>
      </c>
      <c r="N125" s="323" t="n"/>
    </row>
    <row r="126" ht="16" customHeight="1" thickBot="1">
      <c r="A126" s="78" t="n">
        <v>6002841</v>
      </c>
      <c r="B126" s="78" t="inlineStr">
        <is>
          <t>TORTA COCO C/DDL FLOWPACK X 24UN FUDY</t>
        </is>
      </c>
      <c r="C126" s="10" t="n">
        <v>0</v>
      </c>
      <c r="D126" s="312" t="n"/>
      <c r="E126" s="206" t="n">
        <v>2</v>
      </c>
      <c r="F126" s="97">
        <f>C126*E126</f>
        <v/>
      </c>
      <c r="G126" s="101">
        <f>F126*1.21</f>
        <v/>
      </c>
      <c r="H126" s="96">
        <f>VLOOKUP(A126,MATERIALES!$A:$E,5,0)</f>
        <v/>
      </c>
      <c r="I126" s="102">
        <f>C126*H126</f>
        <v/>
      </c>
      <c r="J126" s="299" t="n"/>
      <c r="K126" s="183" t="inlineStr">
        <is>
          <t>ALIM.CONGELADOS CAJAS CHICAS</t>
        </is>
      </c>
      <c r="L126" s="33" t="n">
        <v>0.6</v>
      </c>
      <c r="M126" s="1">
        <f>L126*C126</f>
        <v/>
      </c>
      <c r="N126" s="323" t="n"/>
    </row>
    <row r="127">
      <c r="J127" s="1" t="n"/>
    </row>
    <row r="128">
      <c r="J128" s="1" t="n"/>
    </row>
    <row r="129">
      <c r="J129" s="1" t="n"/>
    </row>
    <row r="130">
      <c r="J130" s="1" t="n"/>
    </row>
    <row r="131">
      <c r="J131" s="1" t="n"/>
    </row>
    <row r="132">
      <c r="J132" s="1" t="n"/>
    </row>
    <row r="133">
      <c r="J133" s="1" t="n"/>
    </row>
    <row r="134">
      <c r="J134" s="1" t="n"/>
    </row>
    <row r="135">
      <c r="J135" s="1" t="n"/>
    </row>
    <row r="136">
      <c r="J136" s="1" t="n"/>
    </row>
    <row r="137">
      <c r="J137" s="1" t="n"/>
    </row>
    <row r="138">
      <c r="J138" s="1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/+tf8fJ4NBpnu8gY8VR/eg==" formatRows="1" sort="1" spinCount="100000" hashValue="8oRt31e+i/M9IksNrinLNNz/0AW3Z/nuPiWFf3W7Um/ewbWGSVQ7719ecqEYvZeb76Sd00a21Mxm8n7kXxR5UA=="/>
  <autoFilter ref="A2:K126"/>
  <mergeCells count="42">
    <mergeCell ref="N84:N126"/>
    <mergeCell ref="O5:Q5"/>
    <mergeCell ref="D75:D77"/>
    <mergeCell ref="J61:J66"/>
    <mergeCell ref="J83:J100"/>
    <mergeCell ref="S14:S15"/>
    <mergeCell ref="D72:D74"/>
    <mergeCell ref="D3:D40"/>
    <mergeCell ref="N13:Q15"/>
    <mergeCell ref="N3:N4"/>
    <mergeCell ref="J3:J40"/>
    <mergeCell ref="O16:Q16"/>
    <mergeCell ref="J75:J77"/>
    <mergeCell ref="D67:D71"/>
    <mergeCell ref="O6:Q7"/>
    <mergeCell ref="D101:D126"/>
    <mergeCell ref="D83:D100"/>
    <mergeCell ref="N17:N18"/>
    <mergeCell ref="Q9:Q10"/>
    <mergeCell ref="D61:D66"/>
    <mergeCell ref="D45:D48"/>
    <mergeCell ref="J72:J74"/>
    <mergeCell ref="J45:J48"/>
    <mergeCell ref="J101:J126"/>
    <mergeCell ref="J67:J71"/>
    <mergeCell ref="D49:D60"/>
    <mergeCell ref="O3:P4"/>
    <mergeCell ref="O9:P10"/>
    <mergeCell ref="D41:D44"/>
    <mergeCell ref="N9:N10"/>
    <mergeCell ref="V16:V17"/>
    <mergeCell ref="J41:J44"/>
    <mergeCell ref="O17:Q19"/>
    <mergeCell ref="J49:J60"/>
    <mergeCell ref="S16:S17"/>
    <mergeCell ref="O1:R1"/>
    <mergeCell ref="O8:P8"/>
    <mergeCell ref="J78:J82"/>
    <mergeCell ref="O2:P2"/>
    <mergeCell ref="Q3:Q4"/>
    <mergeCell ref="D78:D82"/>
    <mergeCell ref="V14:V15"/>
  </mergeCells>
  <conditionalFormatting sqref="D3">
    <cfRule type="cellIs" priority="515" operator="equal" dxfId="0">
      <formula>175</formula>
    </cfRule>
    <cfRule type="cellIs" priority="496" operator="equal" dxfId="0">
      <formula>925</formula>
    </cfRule>
    <cfRule type="cellIs" priority="508" operator="equal" dxfId="0">
      <formula>625</formula>
    </cfRule>
    <cfRule type="cellIs" priority="532" operator="equal" dxfId="0">
      <formula>600</formula>
    </cfRule>
    <cfRule type="cellIs" priority="531" operator="equal" dxfId="0">
      <formula>575</formula>
    </cfRule>
    <cfRule type="cellIs" priority="530" operator="equal" dxfId="0">
      <formula>550</formula>
    </cfRule>
    <cfRule type="cellIs" priority="529" operator="equal" dxfId="0">
      <formula>525</formula>
    </cfRule>
    <cfRule type="cellIs" priority="528" operator="equal" dxfId="0">
      <formula>500</formula>
    </cfRule>
    <cfRule type="cellIs" priority="527" operator="equal" dxfId="0">
      <formula>475</formula>
    </cfRule>
    <cfRule type="cellIs" priority="526" operator="equal" dxfId="0">
      <formula>450</formula>
    </cfRule>
    <cfRule type="cellIs" priority="525" operator="equal" dxfId="0">
      <formula>425</formula>
    </cfRule>
    <cfRule type="cellIs" priority="514" operator="equal" dxfId="0">
      <formula>150</formula>
    </cfRule>
    <cfRule type="cellIs" priority="513" operator="equal" dxfId="0">
      <formula>125</formula>
    </cfRule>
    <cfRule type="cellIs" priority="512" operator="equal" dxfId="0">
      <formula>25</formula>
    </cfRule>
    <cfRule type="cellIs" priority="511" operator="equal" dxfId="0">
      <formula>50</formula>
    </cfRule>
    <cfRule type="cellIs" priority="524" operator="equal" dxfId="0">
      <formula>400</formula>
    </cfRule>
    <cfRule type="cellIs" priority="523" operator="equal" dxfId="0">
      <formula>375</formula>
    </cfRule>
    <cfRule type="cellIs" priority="522" operator="equal" dxfId="0">
      <formula>350</formula>
    </cfRule>
    <cfRule type="cellIs" priority="521" operator="equal" dxfId="0">
      <formula>325</formula>
    </cfRule>
    <cfRule type="cellIs" priority="520" operator="equal" dxfId="0">
      <formula>300</formula>
    </cfRule>
    <cfRule type="cellIs" priority="519" operator="equal" dxfId="0">
      <formula>275</formula>
    </cfRule>
    <cfRule type="cellIs" priority="518" operator="equal" dxfId="0">
      <formula>250</formula>
    </cfRule>
    <cfRule type="cellIs" priority="517" operator="equal" dxfId="0">
      <formula>225</formula>
    </cfRule>
    <cfRule type="cellIs" priority="509" operator="equal" dxfId="0">
      <formula>100</formula>
    </cfRule>
    <cfRule type="cellIs" priority="507" operator="equal" dxfId="0">
      <formula>650</formula>
    </cfRule>
    <cfRule type="cellIs" priority="506" operator="equal" dxfId="0">
      <formula>675</formula>
    </cfRule>
    <cfRule type="cellIs" priority="505" operator="equal" dxfId="0">
      <formula>700</formula>
    </cfRule>
    <cfRule type="cellIs" priority="504" operator="equal" dxfId="0">
      <formula>725</formula>
    </cfRule>
    <cfRule type="cellIs" priority="503" operator="equal" dxfId="0">
      <formula>750</formula>
    </cfRule>
    <cfRule type="cellIs" priority="502" operator="equal" dxfId="0">
      <formula>775</formula>
    </cfRule>
    <cfRule type="cellIs" priority="501" operator="equal" dxfId="0">
      <formula>800</formula>
    </cfRule>
    <cfRule type="cellIs" priority="500" operator="equal" dxfId="0">
      <formula>825</formula>
    </cfRule>
    <cfRule type="cellIs" priority="499" operator="equal" dxfId="0">
      <formula>850</formula>
    </cfRule>
    <cfRule type="cellIs" priority="516" operator="equal" dxfId="0">
      <formula>200</formula>
    </cfRule>
    <cfRule type="cellIs" priority="510" operator="equal" dxfId="0">
      <formula>75</formula>
    </cfRule>
    <cfRule type="cellIs" priority="498" operator="equal" dxfId="0">
      <formula>875</formula>
    </cfRule>
    <cfRule type="cellIs" priority="497" operator="equal" dxfId="0">
      <formula>900</formula>
    </cfRule>
  </conditionalFormatting>
  <conditionalFormatting sqref="D41">
    <cfRule type="cellIs" priority="492" operator="equal" dxfId="0">
      <formula>120</formula>
    </cfRule>
    <cfRule type="cellIs" priority="495" operator="equal" dxfId="0">
      <formula>45</formula>
    </cfRule>
    <cfRule type="cellIs" priority="494" operator="equal" dxfId="0">
      <formula>15</formula>
    </cfRule>
    <cfRule type="cellIs" priority="493" operator="equal" dxfId="0">
      <formula>105</formula>
    </cfRule>
    <cfRule type="cellIs" priority="488" operator="equal" dxfId="0">
      <formula>75</formula>
    </cfRule>
    <cfRule type="cellIs" priority="489" operator="equal" dxfId="0">
      <formula>30</formula>
    </cfRule>
    <cfRule type="cellIs" priority="490" operator="equal" dxfId="0">
      <formula>60</formula>
    </cfRule>
    <cfRule type="cellIs" priority="491" operator="equal" dxfId="0">
      <formula>90</formula>
    </cfRule>
  </conditionalFormatting>
  <conditionalFormatting sqref="D45">
    <cfRule type="cellIs" priority="481" operator="equal" dxfId="0">
      <formula>20</formula>
    </cfRule>
    <cfRule type="cellIs" priority="487" operator="equal" dxfId="0">
      <formula>110</formula>
    </cfRule>
    <cfRule type="cellIs" priority="486" operator="equal" dxfId="0">
      <formula>100</formula>
    </cfRule>
    <cfRule type="cellIs" priority="485" operator="equal" dxfId="0">
      <formula>80</formula>
    </cfRule>
    <cfRule type="cellIs" priority="484" operator="equal" dxfId="0">
      <formula>70</formula>
    </cfRule>
    <cfRule type="cellIs" priority="483" operator="equal" dxfId="0">
      <formula>50</formula>
    </cfRule>
    <cfRule type="cellIs" priority="482" operator="equal" dxfId="0">
      <formula>40</formula>
    </cfRule>
    <cfRule type="cellIs" priority="479" operator="equal" dxfId="0">
      <formula>220</formula>
    </cfRule>
    <cfRule type="cellIs" priority="478" operator="equal" dxfId="0">
      <formula>200</formula>
    </cfRule>
    <cfRule type="cellIs" priority="477" operator="equal" dxfId="0">
      <formula>190</formula>
    </cfRule>
    <cfRule type="cellIs" priority="476" operator="equal" dxfId="0">
      <formula>170</formula>
    </cfRule>
    <cfRule type="cellIs" priority="475" operator="equal" dxfId="0">
      <formula>160</formula>
    </cfRule>
    <cfRule type="cellIs" priority="474" operator="equal" dxfId="0">
      <formula>140</formula>
    </cfRule>
    <cfRule type="cellIs" priority="473" operator="equal" dxfId="0">
      <formula>130</formula>
    </cfRule>
    <cfRule type="cellIs" priority="472" operator="equal" dxfId="0">
      <formula>120</formula>
    </cfRule>
    <cfRule type="cellIs" priority="471" operator="equal" dxfId="0">
      <formula>90</formula>
    </cfRule>
    <cfRule type="cellIs" priority="470" operator="equal" dxfId="0">
      <formula>60</formula>
    </cfRule>
    <cfRule type="cellIs" priority="469" operator="equal" dxfId="0">
      <formula>30</formula>
    </cfRule>
    <cfRule type="cellIs" priority="468" operator="equal" dxfId="0">
      <formula>210</formula>
    </cfRule>
    <cfRule type="cellIs" priority="467" operator="equal" dxfId="0">
      <formula>180</formula>
    </cfRule>
    <cfRule type="cellIs" priority="466" operator="equal" dxfId="0">
      <formula>150</formula>
    </cfRule>
    <cfRule type="cellIs" priority="480" operator="equal" dxfId="0">
      <formula>10</formula>
    </cfRule>
  </conditionalFormatting>
  <conditionalFormatting sqref="D49">
    <cfRule type="cellIs" priority="456" operator="equal" dxfId="0">
      <formula>240</formula>
    </cfRule>
    <cfRule type="cellIs" priority="454" operator="equal" dxfId="0">
      <formula>120</formula>
    </cfRule>
    <cfRule type="cellIs" priority="457" operator="equal" dxfId="0">
      <formula>255</formula>
    </cfRule>
    <cfRule type="cellIs" priority="455" operator="equal" dxfId="0">
      <formula>225</formula>
    </cfRule>
    <cfRule type="cellIs" priority="452" operator="equal" dxfId="0">
      <formula>60</formula>
    </cfRule>
    <cfRule type="cellIs" priority="451" operator="equal" dxfId="0">
      <formula>30</formula>
    </cfRule>
    <cfRule type="cellIs" priority="450" operator="equal" dxfId="0">
      <formula>210</formula>
    </cfRule>
    <cfRule type="cellIs" priority="449" operator="equal" dxfId="0">
      <formula>180</formula>
    </cfRule>
    <cfRule type="cellIs" priority="448" operator="equal" dxfId="0">
      <formula>150</formula>
    </cfRule>
    <cfRule type="cellIs" priority="453" operator="equal" dxfId="0">
      <formula>90</formula>
    </cfRule>
    <cfRule type="cellIs" priority="458" operator="equal" dxfId="0">
      <formula>270</formula>
    </cfRule>
    <cfRule type="cellIs" priority="459" operator="equal" dxfId="0">
      <formula>15</formula>
    </cfRule>
    <cfRule type="cellIs" priority="460" operator="equal" dxfId="0">
      <formula>45</formula>
    </cfRule>
    <cfRule type="cellIs" priority="461" operator="equal" dxfId="0">
      <formula>75</formula>
    </cfRule>
    <cfRule type="cellIs" priority="462" operator="equal" dxfId="0">
      <formula>105</formula>
    </cfRule>
    <cfRule type="cellIs" priority="463" operator="equal" dxfId="0">
      <formula>135</formula>
    </cfRule>
    <cfRule type="cellIs" priority="464" operator="equal" dxfId="0">
      <formula>165</formula>
    </cfRule>
    <cfRule type="cellIs" priority="465" operator="equal" dxfId="0">
      <formula>195</formula>
    </cfRule>
  </conditionalFormatting>
  <conditionalFormatting sqref="D61">
    <cfRule type="cellIs" priority="436" operator="equal" dxfId="0">
      <formula>120</formula>
    </cfRule>
    <cfRule type="cellIs" priority="437" operator="equal" dxfId="0">
      <formula>225</formula>
    </cfRule>
    <cfRule type="cellIs" priority="438" operator="equal" dxfId="0">
      <formula>240</formula>
    </cfRule>
    <cfRule type="cellIs" priority="435" operator="equal" dxfId="0">
      <formula>90</formula>
    </cfRule>
    <cfRule type="cellIs" priority="434" operator="equal" dxfId="0">
      <formula>60</formula>
    </cfRule>
    <cfRule type="cellIs" priority="433" operator="equal" dxfId="0">
      <formula>30</formula>
    </cfRule>
    <cfRule type="cellIs" priority="432" operator="equal" dxfId="0">
      <formula>210</formula>
    </cfRule>
    <cfRule type="cellIs" priority="431" operator="equal" dxfId="0">
      <formula>180</formula>
    </cfRule>
    <cfRule type="cellIs" priority="430" operator="equal" dxfId="0">
      <formula>150</formula>
    </cfRule>
    <cfRule type="cellIs" priority="439" operator="equal" dxfId="0">
      <formula>255</formula>
    </cfRule>
    <cfRule type="cellIs" priority="440" operator="equal" dxfId="0">
      <formula>270</formula>
    </cfRule>
    <cfRule type="cellIs" priority="441" operator="equal" dxfId="0">
      <formula>15</formula>
    </cfRule>
    <cfRule type="cellIs" priority="442" operator="equal" dxfId="0">
      <formula>45</formula>
    </cfRule>
    <cfRule type="cellIs" priority="443" operator="equal" dxfId="0">
      <formula>75</formula>
    </cfRule>
    <cfRule type="cellIs" priority="444" operator="equal" dxfId="0">
      <formula>105</formula>
    </cfRule>
    <cfRule type="cellIs" priority="445" operator="equal" dxfId="0">
      <formula>135</formula>
    </cfRule>
    <cfRule type="cellIs" priority="446" operator="equal" dxfId="0">
      <formula>165</formula>
    </cfRule>
    <cfRule type="cellIs" priority="447" operator="equal" dxfId="0">
      <formula>195</formula>
    </cfRule>
  </conditionalFormatting>
  <conditionalFormatting sqref="D67 D72">
    <cfRule type="cellIs" priority="41" operator="equal" dxfId="0">
      <formula>180</formula>
    </cfRule>
    <cfRule type="cellIs" priority="49" operator="equal" dxfId="0">
      <formula>60</formula>
    </cfRule>
    <cfRule type="cellIs" priority="54" operator="equal" dxfId="0">
      <formula>120</formula>
    </cfRule>
  </conditionalFormatting>
  <conditionalFormatting sqref="D67">
    <cfRule type="cellIs" priority="53" operator="equal" dxfId="0">
      <formula>108</formula>
    </cfRule>
    <cfRule type="cellIs" priority="48" operator="equal" dxfId="0">
      <formula>48</formula>
    </cfRule>
    <cfRule type="cellIs" priority="40" operator="equal" dxfId="0">
      <formula>168</formula>
    </cfRule>
    <cfRule type="cellIs" priority="42" operator="equal" dxfId="0">
      <formula>192</formula>
    </cfRule>
    <cfRule type="cellIs" priority="43" operator="equal" dxfId="0">
      <formula>204</formula>
    </cfRule>
    <cfRule type="cellIs" priority="44" operator="equal" dxfId="0">
      <formula>216</formula>
    </cfRule>
    <cfRule type="cellIs" priority="45" operator="equal" dxfId="0">
      <formula>12</formula>
    </cfRule>
    <cfRule type="cellIs" priority="55" operator="equal" dxfId="0">
      <formula>132</formula>
    </cfRule>
    <cfRule type="cellIs" priority="56" operator="equal" dxfId="0">
      <formula>144</formula>
    </cfRule>
    <cfRule type="cellIs" priority="47" operator="equal" dxfId="0">
      <formula>36</formula>
    </cfRule>
    <cfRule type="cellIs" priority="57" operator="equal" dxfId="0">
      <formula>156</formula>
    </cfRule>
    <cfRule type="cellIs" priority="52" operator="equal" dxfId="0">
      <formula>96</formula>
    </cfRule>
    <cfRule type="cellIs" priority="51" operator="equal" dxfId="0">
      <formula>84</formula>
    </cfRule>
    <cfRule type="cellIs" priority="50" operator="equal" dxfId="0">
      <formula>72</formula>
    </cfRule>
    <cfRule type="cellIs" priority="46" operator="equal" dxfId="0">
      <formula>24</formula>
    </cfRule>
  </conditionalFormatting>
  <conditionalFormatting sqref="D72">
    <cfRule type="cellIs" priority="421" operator="equal" dxfId="0">
      <formula>40</formula>
    </cfRule>
    <cfRule type="cellIs" priority="415" operator="equal" dxfId="0">
      <formula>190</formula>
    </cfRule>
    <cfRule type="cellIs" priority="408" operator="equal" dxfId="0">
      <formula>10</formula>
    </cfRule>
    <cfRule type="cellIs" priority="409" operator="equal" dxfId="0">
      <formula>130</formula>
    </cfRule>
    <cfRule type="cellIs" priority="410" operator="equal" dxfId="0">
      <formula>140</formula>
    </cfRule>
    <cfRule type="cellIs" priority="411" operator="equal" dxfId="0">
      <formula>150</formula>
    </cfRule>
    <cfRule type="cellIs" priority="428" operator="equal" dxfId="0">
      <formula>110</formula>
    </cfRule>
    <cfRule type="cellIs" priority="412" operator="equal" dxfId="0">
      <formula>160</formula>
    </cfRule>
    <cfRule type="cellIs" priority="427" operator="equal" dxfId="0">
      <formula>100</formula>
    </cfRule>
    <cfRule type="cellIs" priority="426" operator="equal" dxfId="0">
      <formula>90</formula>
    </cfRule>
    <cfRule type="cellIs" priority="425" operator="equal" dxfId="0">
      <formula>80</formula>
    </cfRule>
    <cfRule type="cellIs" priority="424" operator="equal" dxfId="0">
      <formula>70</formula>
    </cfRule>
    <cfRule type="cellIs" priority="422" operator="equal" dxfId="0">
      <formula>50</formula>
    </cfRule>
    <cfRule type="cellIs" priority="413" operator="equal" dxfId="0">
      <formula>170</formula>
    </cfRule>
    <cfRule type="cellIs" priority="416" operator="equal" dxfId="0">
      <formula>200</formula>
    </cfRule>
    <cfRule type="cellIs" priority="417" operator="equal" dxfId="0">
      <formula>210</formula>
    </cfRule>
    <cfRule type="cellIs" priority="418" operator="equal" dxfId="0">
      <formula>220</formula>
    </cfRule>
    <cfRule type="cellIs" priority="419" operator="equal" dxfId="0">
      <formula>20</formula>
    </cfRule>
    <cfRule type="cellIs" priority="420" operator="equal" dxfId="0">
      <formula>30</formula>
    </cfRule>
  </conditionalFormatting>
  <conditionalFormatting sqref="D75">
    <cfRule type="cellIs" priority="386" operator="equal" dxfId="0">
      <formula>10</formula>
    </cfRule>
    <cfRule type="cellIs" priority="387" operator="equal" dxfId="0">
      <formula>130</formula>
    </cfRule>
    <cfRule type="cellIs" priority="388" operator="equal" dxfId="0">
      <formula>140</formula>
    </cfRule>
    <cfRule type="cellIs" priority="389" operator="equal" dxfId="0">
      <formula>150</formula>
    </cfRule>
    <cfRule type="cellIs" priority="390" operator="equal" dxfId="0">
      <formula>160</formula>
    </cfRule>
    <cfRule type="cellIs" priority="391" operator="equal" dxfId="0">
      <formula>170</formula>
    </cfRule>
    <cfRule type="cellIs" priority="392" operator="equal" dxfId="0">
      <formula>180</formula>
    </cfRule>
    <cfRule type="cellIs" priority="393" operator="equal" dxfId="0">
      <formula>190</formula>
    </cfRule>
    <cfRule type="cellIs" priority="394" operator="equal" dxfId="0">
      <formula>200</formula>
    </cfRule>
    <cfRule type="cellIs" priority="395" operator="equal" dxfId="0">
      <formula>210</formula>
    </cfRule>
    <cfRule type="cellIs" priority="396" operator="equal" dxfId="0">
      <formula>220</formula>
    </cfRule>
    <cfRule type="cellIs" priority="397" operator="equal" dxfId="0">
      <formula>20</formula>
    </cfRule>
    <cfRule type="cellIs" priority="398" operator="equal" dxfId="0">
      <formula>30</formula>
    </cfRule>
    <cfRule type="cellIs" priority="399" operator="equal" dxfId="0">
      <formula>40</formula>
    </cfRule>
    <cfRule type="cellIs" priority="400" operator="equal" dxfId="0">
      <formula>50</formula>
    </cfRule>
    <cfRule type="cellIs" priority="401" operator="equal" dxfId="0">
      <formula>60</formula>
    </cfRule>
    <cfRule type="cellIs" priority="402" operator="equal" dxfId="0">
      <formula>70</formula>
    </cfRule>
    <cfRule type="cellIs" priority="403" operator="equal" dxfId="0">
      <formula>80</formula>
    </cfRule>
    <cfRule type="cellIs" priority="404" operator="equal" dxfId="0">
      <formula>90</formula>
    </cfRule>
    <cfRule type="cellIs" priority="406" operator="equal" dxfId="0">
      <formula>110</formula>
    </cfRule>
    <cfRule type="cellIs" priority="407" operator="equal" dxfId="0">
      <formula>120</formula>
    </cfRule>
    <cfRule type="cellIs" priority="405" operator="equal" dxfId="0">
      <formula>100</formula>
    </cfRule>
  </conditionalFormatting>
  <conditionalFormatting sqref="D78">
    <cfRule type="cellIs" priority="356" operator="equal" dxfId="0">
      <formula>60</formula>
    </cfRule>
    <cfRule type="cellIs" priority="347" operator="equal" dxfId="0">
      <formula>168</formula>
    </cfRule>
    <cfRule type="cellIs" priority="364" operator="equal" dxfId="0">
      <formula>156</formula>
    </cfRule>
    <cfRule type="cellIs" priority="363" operator="equal" dxfId="0">
      <formula>144</formula>
    </cfRule>
    <cfRule type="cellIs" priority="362" operator="equal" dxfId="0">
      <formula>132</formula>
    </cfRule>
    <cfRule type="cellIs" priority="361" operator="equal" dxfId="0">
      <formula>120</formula>
    </cfRule>
    <cfRule type="cellIs" priority="360" operator="equal" dxfId="0">
      <formula>108</formula>
    </cfRule>
    <cfRule type="cellIs" priority="359" operator="equal" dxfId="0">
      <formula>96</formula>
    </cfRule>
    <cfRule type="cellIs" priority="357" operator="equal" dxfId="0">
      <formula>72</formula>
    </cfRule>
    <cfRule type="cellIs" priority="358" operator="equal" dxfId="0">
      <formula>84</formula>
    </cfRule>
    <cfRule type="cellIs" priority="355" operator="equal" dxfId="0">
      <formula>48</formula>
    </cfRule>
    <cfRule type="cellIs" priority="354" operator="equal" dxfId="0">
      <formula>36</formula>
    </cfRule>
    <cfRule type="cellIs" priority="353" operator="equal" dxfId="0">
      <formula>24</formula>
    </cfRule>
    <cfRule type="cellIs" priority="352" operator="equal" dxfId="0">
      <formula>12</formula>
    </cfRule>
    <cfRule type="cellIs" priority="351" operator="equal" dxfId="0">
      <formula>216</formula>
    </cfRule>
    <cfRule type="cellIs" priority="350" operator="equal" dxfId="0">
      <formula>204</formula>
    </cfRule>
    <cfRule type="cellIs" priority="349" operator="equal" dxfId="0">
      <formula>192</formula>
    </cfRule>
    <cfRule type="cellIs" priority="348" operator="equal" dxfId="0">
      <formula>180</formula>
    </cfRule>
  </conditionalFormatting>
  <conditionalFormatting sqref="D83">
    <cfRule type="cellIs" priority="101" operator="equal" dxfId="0">
      <formula>600</formula>
    </cfRule>
    <cfRule type="cellIs" priority="100" operator="equal" dxfId="0">
      <formula>575</formula>
    </cfRule>
    <cfRule type="cellIs" priority="72" operator="equal" dxfId="0">
      <formula>775</formula>
    </cfRule>
    <cfRule type="cellIs" priority="73" operator="equal" dxfId="0">
      <formula>750</formula>
    </cfRule>
    <cfRule type="cellIs" priority="74" operator="equal" dxfId="0">
      <formula>725</formula>
    </cfRule>
    <cfRule type="cellIs" priority="75" operator="equal" dxfId="0">
      <formula>700</formula>
    </cfRule>
    <cfRule type="cellIs" priority="76" operator="equal" dxfId="0">
      <formula>675</formula>
    </cfRule>
    <cfRule type="cellIs" priority="70" operator="equal" dxfId="0">
      <formula>825</formula>
    </cfRule>
    <cfRule type="cellIs" priority="90" operator="equal" dxfId="0">
      <formula>325</formula>
    </cfRule>
    <cfRule type="cellIs" priority="89" operator="equal" dxfId="0">
      <formula>300</formula>
    </cfRule>
    <cfRule type="cellIs" priority="88" operator="equal" dxfId="0">
      <formula>275</formula>
    </cfRule>
    <cfRule type="cellIs" priority="87" operator="equal" dxfId="0">
      <formula>250</formula>
    </cfRule>
    <cfRule type="cellIs" priority="69" operator="equal" dxfId="0">
      <formula>850</formula>
    </cfRule>
    <cfRule type="cellIs" priority="68" operator="equal" dxfId="0">
      <formula>875</formula>
    </cfRule>
    <cfRule type="cellIs" priority="67" operator="equal" dxfId="0">
      <formula>900</formula>
    </cfRule>
    <cfRule type="cellIs" priority="66" operator="equal" dxfId="0">
      <formula>925</formula>
    </cfRule>
    <cfRule type="cellIs" priority="77" operator="equal" dxfId="0">
      <formula>650</formula>
    </cfRule>
    <cfRule type="cellIs" priority="65" operator="equal" dxfId="0">
      <formula>5</formula>
    </cfRule>
    <cfRule type="cellIs" priority="78" operator="equal" dxfId="0">
      <formula>625</formula>
    </cfRule>
    <cfRule type="cellIs" priority="64" operator="equal" dxfId="0">
      <formula>10</formula>
    </cfRule>
    <cfRule type="cellIs" priority="63" operator="equal" dxfId="0">
      <formula>15</formula>
    </cfRule>
    <cfRule type="cellIs" priority="62" operator="equal" dxfId="0">
      <formula>20</formula>
    </cfRule>
    <cfRule type="cellIs" priority="61" operator="equal" dxfId="0">
      <formula>25</formula>
    </cfRule>
    <cfRule type="cellIs" priority="60" operator="equal" dxfId="0">
      <formula>30</formula>
    </cfRule>
    <cfRule type="cellIs" priority="86" operator="equal" dxfId="0">
      <formula>225</formula>
    </cfRule>
    <cfRule type="cellIs" priority="79" operator="equal" dxfId="0">
      <formula>100</formula>
    </cfRule>
    <cfRule type="cellIs" priority="80" operator="equal" dxfId="0">
      <formula>75</formula>
    </cfRule>
    <cfRule type="cellIs" priority="81" operator="equal" dxfId="0">
      <formula>50</formula>
    </cfRule>
    <cfRule type="cellIs" priority="82" operator="equal" dxfId="0">
      <formula>125</formula>
    </cfRule>
    <cfRule type="cellIs" priority="83" operator="equal" dxfId="0">
      <formula>150</formula>
    </cfRule>
    <cfRule type="cellIs" priority="84" operator="equal" dxfId="0">
      <formula>175</formula>
    </cfRule>
    <cfRule type="cellIs" priority="91" operator="equal" dxfId="0">
      <formula>350</formula>
    </cfRule>
    <cfRule type="cellIs" priority="92" operator="equal" dxfId="0">
      <formula>375</formula>
    </cfRule>
    <cfRule type="cellIs" priority="93" operator="equal" dxfId="0">
      <formula>400</formula>
    </cfRule>
    <cfRule type="cellIs" priority="94" operator="equal" dxfId="0">
      <formula>425</formula>
    </cfRule>
    <cfRule type="cellIs" priority="95" operator="equal" dxfId="0">
      <formula>450</formula>
    </cfRule>
    <cfRule type="cellIs" priority="96" operator="equal" dxfId="0">
      <formula>475</formula>
    </cfRule>
    <cfRule type="cellIs" priority="85" operator="equal" dxfId="0">
      <formula>200</formula>
    </cfRule>
    <cfRule type="cellIs" priority="97" operator="equal" dxfId="0">
      <formula>500</formula>
    </cfRule>
    <cfRule type="cellIs" priority="98" operator="equal" dxfId="0">
      <formula>525</formula>
    </cfRule>
    <cfRule type="cellIs" priority="99" operator="equal" dxfId="0">
      <formula>550</formula>
    </cfRule>
    <cfRule type="cellIs" priority="71" operator="equal" dxfId="0">
      <formula>800</formula>
    </cfRule>
  </conditionalFormatting>
  <conditionalFormatting sqref="D101">
    <cfRule type="cellIs" priority="191" operator="equal" dxfId="0">
      <formula>450</formula>
    </cfRule>
    <cfRule type="cellIs" priority="195" operator="equal" dxfId="0">
      <formula>550</formula>
    </cfRule>
    <cfRule type="cellIs" priority="184" operator="equal" dxfId="0">
      <formula>275</formula>
    </cfRule>
    <cfRule type="cellIs" priority="183" operator="equal" dxfId="0">
      <formula>250</formula>
    </cfRule>
    <cfRule type="cellIs" priority="182" operator="equal" dxfId="0">
      <formula>225</formula>
    </cfRule>
    <cfRule type="cellIs" priority="181" operator="equal" dxfId="0">
      <formula>200</formula>
    </cfRule>
    <cfRule type="cellIs" priority="180" operator="equal" dxfId="0">
      <formula>175</formula>
    </cfRule>
    <cfRule type="cellIs" priority="179" operator="equal" dxfId="0">
      <formula>150</formula>
    </cfRule>
    <cfRule type="cellIs" priority="178" operator="equal" dxfId="0">
      <formula>125</formula>
    </cfRule>
    <cfRule type="cellIs" priority="176" operator="equal" dxfId="0">
      <formula>50</formula>
    </cfRule>
    <cfRule type="cellIs" priority="175" operator="equal" dxfId="0">
      <formula>75</formula>
    </cfRule>
    <cfRule type="cellIs" priority="174" operator="equal" dxfId="0">
      <formula>100</formula>
    </cfRule>
    <cfRule type="cellIs" priority="173" operator="equal" dxfId="0">
      <formula>625</formula>
    </cfRule>
    <cfRule type="cellIs" priority="172" operator="equal" dxfId="0">
      <formula>650</formula>
    </cfRule>
    <cfRule type="cellIs" priority="171" operator="equal" dxfId="0">
      <formula>675</formula>
    </cfRule>
    <cfRule type="cellIs" priority="170" operator="equal" dxfId="0">
      <formula>700</formula>
    </cfRule>
    <cfRule type="cellIs" priority="169" operator="equal" dxfId="0">
      <formula>725</formula>
    </cfRule>
    <cfRule type="cellIs" priority="168" operator="equal" dxfId="0">
      <formula>750</formula>
    </cfRule>
    <cfRule type="cellIs" priority="167" operator="equal" dxfId="0">
      <formula>775</formula>
    </cfRule>
    <cfRule type="cellIs" priority="166" operator="equal" dxfId="0">
      <formula>800</formula>
    </cfRule>
    <cfRule type="cellIs" priority="165" operator="equal" dxfId="0">
      <formula>825</formula>
    </cfRule>
    <cfRule type="cellIs" priority="164" operator="equal" dxfId="0">
      <formula>850</formula>
    </cfRule>
    <cfRule type="cellIs" priority="163" operator="equal" dxfId="0">
      <formula>875</formula>
    </cfRule>
    <cfRule type="cellIs" priority="162" operator="equal" dxfId="0">
      <formula>900</formula>
    </cfRule>
    <cfRule type="cellIs" priority="161" operator="equal" dxfId="0">
      <formula>925</formula>
    </cfRule>
    <cfRule type="cellIs" priority="160" operator="equal" dxfId="0">
      <formula>5</formula>
    </cfRule>
    <cfRule type="cellIs" priority="159" operator="equal" dxfId="0">
      <formula>10</formula>
    </cfRule>
    <cfRule type="cellIs" priority="158" operator="equal" dxfId="0">
      <formula>15</formula>
    </cfRule>
    <cfRule type="cellIs" priority="157" operator="equal" dxfId="0">
      <formula>20</formula>
    </cfRule>
    <cfRule type="cellIs" priority="156" operator="equal" dxfId="0">
      <formula>25</formula>
    </cfRule>
    <cfRule type="cellIs" priority="155" operator="equal" dxfId="0">
      <formula>30</formula>
    </cfRule>
    <cfRule type="cellIs" priority="197" operator="equal" dxfId="0">
      <formula>600</formula>
    </cfRule>
    <cfRule type="cellIs" priority="196" operator="equal" dxfId="0">
      <formula>575</formula>
    </cfRule>
    <cfRule type="cellIs" priority="186" operator="equal" dxfId="0">
      <formula>325</formula>
    </cfRule>
    <cfRule type="cellIs" priority="187" operator="equal" dxfId="0">
      <formula>350</formula>
    </cfRule>
    <cfRule type="cellIs" priority="188" operator="equal" dxfId="0">
      <formula>375</formula>
    </cfRule>
    <cfRule type="cellIs" priority="189" operator="equal" dxfId="0">
      <formula>400</formula>
    </cfRule>
    <cfRule type="cellIs" priority="190" operator="equal" dxfId="0">
      <formula>425</formula>
    </cfRule>
    <cfRule type="cellIs" priority="192" operator="equal" dxfId="0">
      <formula>475</formula>
    </cfRule>
    <cfRule type="cellIs" priority="193" operator="equal" dxfId="0">
      <formula>500</formula>
    </cfRule>
    <cfRule type="cellIs" priority="194" operator="equal" dxfId="0">
      <formula>525</formula>
    </cfRule>
    <cfRule type="cellIs" priority="185" operator="equal" dxfId="0">
      <formula>300</formula>
    </cfRule>
  </conditionalFormatting>
  <conditionalFormatting sqref="E3:F82 E83:H119 G4:I40 G41:J41 G42:I71 G72:J72 G73:I74 G75:J75 G76:I77 G78:J78 G79:I82 I84:I119 J45 J49 J61">
    <cfRule type="containsText" priority="568" operator="containsText" dxfId="0" text="STOCK OK ">
      <formula>NOT(ISERROR(SEARCH("STOCK OK ",E3)))</formula>
    </cfRule>
    <cfRule type="containsText" priority="567" operator="containsText" dxfId="123" text="SIN STOCK ">
      <formula>NOT(ISERROR(SEARCH("SIN STOCK ",E3)))</formula>
    </cfRule>
  </conditionalFormatting>
  <conditionalFormatting sqref="E120:I126">
    <cfRule type="containsText" priority="59" operator="containsText" dxfId="0" text="STOCK OK ">
      <formula>NOT(ISERROR(SEARCH("STOCK OK ",E120)))</formula>
    </cfRule>
    <cfRule type="containsText" priority="58" operator="containsText" dxfId="123" text="SIN STOCK ">
      <formula>NOT(ISERROR(SEARCH("SIN STOCK ",E120)))</formula>
    </cfRule>
  </conditionalFormatting>
  <conditionalFormatting sqref="G3:J3 I83:J83">
    <cfRule type="containsText" priority="584" operator="containsText" dxfId="0" text="STOCK OK ">
      <formula>NOT(ISERROR(SEARCH("STOCK OK ",G3)))</formula>
    </cfRule>
    <cfRule type="containsText" priority="583" operator="containsText" dxfId="123" text="SIN STOCK ">
      <formula>NOT(ISERROR(SEARCH("SIN STOCK ",G3)))</formula>
    </cfRule>
  </conditionalFormatting>
  <conditionalFormatting sqref="O17:Q19">
    <cfRule type="cellIs" priority="125" operator="lessThan" dxfId="123">
      <formula>0</formula>
    </cfRule>
    <cfRule type="cellIs" priority="126" operator="greaterThan" dxfId="0">
      <formula>0</formula>
    </cfRule>
  </conditionalFormatting>
  <conditionalFormatting sqref="V3">
    <cfRule type="cellIs" priority="781" operator="equal" dxfId="0">
      <formula>575</formula>
    </cfRule>
    <cfRule type="cellIs" priority="546" operator="equal" dxfId="0">
      <formula>650</formula>
    </cfRule>
    <cfRule type="cellIs" priority="782" operator="equal" dxfId="0">
      <formula>600</formula>
    </cfRule>
    <cfRule type="cellIs" priority="535" operator="equal" dxfId="0">
      <formula>925</formula>
    </cfRule>
    <cfRule type="cellIs" priority="536" operator="equal" dxfId="0">
      <formula>900</formula>
    </cfRule>
    <cfRule type="cellIs" priority="780" operator="equal" dxfId="0">
      <formula>550</formula>
    </cfRule>
    <cfRule type="cellIs" priority="542" operator="equal" dxfId="0">
      <formula>750</formula>
    </cfRule>
    <cfRule type="cellIs" priority="543" operator="equal" dxfId="0">
      <formula>725</formula>
    </cfRule>
    <cfRule type="cellIs" priority="544" operator="equal" dxfId="0">
      <formula>700</formula>
    </cfRule>
    <cfRule type="cellIs" priority="606" operator="equal" dxfId="0">
      <formula>525</formula>
    </cfRule>
    <cfRule type="cellIs" priority="605" operator="equal" dxfId="0">
      <formula>500</formula>
    </cfRule>
    <cfRule type="cellIs" priority="604" operator="equal" dxfId="0">
      <formula>475</formula>
    </cfRule>
    <cfRule type="cellIs" priority="603" operator="equal" dxfId="0">
      <formula>450</formula>
    </cfRule>
    <cfRule type="cellIs" priority="602" operator="equal" dxfId="0">
      <formula>425</formula>
    </cfRule>
    <cfRule type="cellIs" priority="601" operator="equal" dxfId="0">
      <formula>400</formula>
    </cfRule>
    <cfRule type="cellIs" priority="600" operator="equal" dxfId="0">
      <formula>375</formula>
    </cfRule>
    <cfRule type="cellIs" priority="599" operator="equal" dxfId="0">
      <formula>350</formula>
    </cfRule>
    <cfRule type="cellIs" priority="598" operator="equal" dxfId="0">
      <formula>325</formula>
    </cfRule>
    <cfRule type="cellIs" priority="597" operator="equal" dxfId="0">
      <formula>300</formula>
    </cfRule>
    <cfRule type="cellIs" priority="596" operator="equal" dxfId="0">
      <formula>275</formula>
    </cfRule>
    <cfRule type="cellIs" priority="595" operator="equal" dxfId="0">
      <formula>250</formula>
    </cfRule>
    <cfRule type="cellIs" priority="594" operator="equal" dxfId="0">
      <formula>225</formula>
    </cfRule>
    <cfRule type="cellIs" priority="593" operator="equal" dxfId="0">
      <formula>200</formula>
    </cfRule>
    <cfRule type="cellIs" priority="592" operator="equal" dxfId="0">
      <formula>175</formula>
    </cfRule>
    <cfRule type="cellIs" priority="591" operator="equal" dxfId="0">
      <formula>150</formula>
    </cfRule>
    <cfRule type="cellIs" priority="590" operator="equal" dxfId="0">
      <formula>125</formula>
    </cfRule>
    <cfRule type="cellIs" priority="589" operator="equal" dxfId="0">
      <formula>25</formula>
    </cfRule>
    <cfRule type="cellIs" priority="588" operator="equal" dxfId="0">
      <formula>50</formula>
    </cfRule>
    <cfRule type="cellIs" priority="545" operator="equal" dxfId="0">
      <formula>675</formula>
    </cfRule>
    <cfRule type="cellIs" priority="586" operator="equal" dxfId="0">
      <formula>100</formula>
    </cfRule>
    <cfRule type="cellIs" priority="537" operator="equal" dxfId="0">
      <formula>875</formula>
    </cfRule>
    <cfRule type="cellIs" priority="538" operator="equal" dxfId="0">
      <formula>850</formula>
    </cfRule>
    <cfRule type="cellIs" priority="539" operator="equal" dxfId="0">
      <formula>825</formula>
    </cfRule>
    <cfRule type="cellIs" priority="540" operator="equal" dxfId="0">
      <formula>800</formula>
    </cfRule>
    <cfRule type="cellIs" priority="547" operator="equal" dxfId="0">
      <formula>625</formula>
    </cfRule>
    <cfRule type="cellIs" priority="541" operator="equal" dxfId="0">
      <formula>775</formula>
    </cfRule>
  </conditionalFormatting>
  <conditionalFormatting sqref="V3:V4">
    <cfRule type="cellIs" priority="587" operator="equal" dxfId="0">
      <formula>75</formula>
    </cfRule>
  </conditionalFormatting>
  <conditionalFormatting sqref="V4">
    <cfRule type="cellIs" priority="678" operator="equal" dxfId="0">
      <formula>105</formula>
    </cfRule>
    <cfRule type="cellIs" priority="683" operator="equal" dxfId="0">
      <formula>15</formula>
    </cfRule>
    <cfRule type="cellIs" priority="684" operator="equal" dxfId="0">
      <formula>45</formula>
    </cfRule>
  </conditionalFormatting>
  <conditionalFormatting sqref="V4:V13">
    <cfRule type="cellIs" priority="198" operator="equal" dxfId="0">
      <formula>12</formula>
    </cfRule>
  </conditionalFormatting>
  <conditionalFormatting sqref="V5">
    <cfRule type="cellIs" priority="7" operator="equal" dxfId="0">
      <formula>140</formula>
    </cfRule>
    <cfRule type="cellIs" priority="6" operator="equal" dxfId="0">
      <formula>160</formula>
    </cfRule>
    <cfRule type="cellIs" priority="5" operator="equal" dxfId="0">
      <formula>170</formula>
    </cfRule>
    <cfRule type="cellIs" priority="4" operator="equal" dxfId="0">
      <formula>190</formula>
    </cfRule>
    <cfRule type="cellIs" priority="3" operator="equal" dxfId="0">
      <formula>200</formula>
    </cfRule>
    <cfRule type="cellIs" priority="2" operator="equal" dxfId="0">
      <formula>220</formula>
    </cfRule>
    <cfRule type="cellIs" priority="8" operator="equal" dxfId="0">
      <formula>130</formula>
    </cfRule>
    <cfRule type="cellIs" priority="9" operator="equal" dxfId="0">
      <formula>110</formula>
    </cfRule>
    <cfRule type="cellIs" priority="10" operator="equal" dxfId="0">
      <formula>100</formula>
    </cfRule>
    <cfRule type="cellIs" priority="11" operator="equal" dxfId="0">
      <formula>80</formula>
    </cfRule>
    <cfRule type="cellIs" priority="12" operator="equal" dxfId="0">
      <formula>70</formula>
    </cfRule>
    <cfRule type="cellIs" priority="13" operator="equal" dxfId="0">
      <formula>50</formula>
    </cfRule>
    <cfRule type="cellIs" priority="14" operator="equal" dxfId="0">
      <formula>40</formula>
    </cfRule>
    <cfRule type="cellIs" priority="15" operator="equal" dxfId="0">
      <formula>20</formula>
    </cfRule>
    <cfRule type="cellIs" priority="16" operator="equal" dxfId="0">
      <formula>10</formula>
    </cfRule>
    <cfRule type="cellIs" priority="1" operator="equal" dxfId="0">
      <formula>230</formula>
    </cfRule>
  </conditionalFormatting>
  <conditionalFormatting sqref="V5:V13">
    <cfRule type="cellIs" priority="39" operator="equal" dxfId="0">
      <formula>72</formula>
    </cfRule>
    <cfRule type="cellIs" priority="35" operator="equal" dxfId="0">
      <formula>84</formula>
    </cfRule>
    <cfRule type="cellIs" priority="33" operator="equal" dxfId="0">
      <formula>108</formula>
    </cfRule>
    <cfRule type="cellIs" priority="201" operator="equal" dxfId="0">
      <formula>24</formula>
    </cfRule>
    <cfRule type="cellIs" priority="34" operator="equal" dxfId="0">
      <formula>96</formula>
    </cfRule>
    <cfRule type="cellIs" priority="38" operator="equal" dxfId="0">
      <formula>60</formula>
    </cfRule>
    <cfRule type="cellIs" priority="37" operator="equal" dxfId="0">
      <formula>48</formula>
    </cfRule>
    <cfRule type="cellIs" priority="36" operator="equal" dxfId="0">
      <formula>36</formula>
    </cfRule>
  </conditionalFormatting>
  <conditionalFormatting sqref="V9:V10">
    <cfRule type="cellIs" priority="260" operator="equal" dxfId="0">
      <formula>230</formula>
    </cfRule>
    <cfRule type="cellIs" priority="282" operator="equal" dxfId="0">
      <formula>10</formula>
    </cfRule>
    <cfRule type="cellIs" priority="281" operator="equal" dxfId="0">
      <formula>20</formula>
    </cfRule>
    <cfRule type="cellIs" priority="279" operator="equal" dxfId="0">
      <formula>40</formula>
    </cfRule>
    <cfRule type="cellIs" priority="278" operator="equal" dxfId="0">
      <formula>50</formula>
    </cfRule>
    <cfRule type="cellIs" priority="276" operator="equal" dxfId="0">
      <formula>70</formula>
    </cfRule>
    <cfRule type="cellIs" priority="275" operator="equal" dxfId="0">
      <formula>80</formula>
    </cfRule>
    <cfRule type="cellIs" priority="273" operator="equal" dxfId="0">
      <formula>100</formula>
    </cfRule>
    <cfRule type="cellIs" priority="272" operator="equal" dxfId="0">
      <formula>110</formula>
    </cfRule>
    <cfRule type="cellIs" priority="270" operator="equal" dxfId="0">
      <formula>130</formula>
    </cfRule>
    <cfRule type="cellIs" priority="269" operator="equal" dxfId="0">
      <formula>140</formula>
    </cfRule>
    <cfRule type="cellIs" priority="267" operator="equal" dxfId="0">
      <formula>160</formula>
    </cfRule>
    <cfRule type="cellIs" priority="266" operator="equal" dxfId="0">
      <formula>170</formula>
    </cfRule>
    <cfRule type="cellIs" priority="264" operator="equal" dxfId="0">
      <formula>190</formula>
    </cfRule>
    <cfRule type="cellIs" priority="263" operator="equal" dxfId="0">
      <formula>200</formula>
    </cfRule>
    <cfRule type="cellIs" priority="261" operator="equal" dxfId="0">
      <formula>220</formula>
    </cfRule>
  </conditionalFormatting>
  <conditionalFormatting sqref="V12">
    <cfRule type="cellIs" priority="286" operator="equal" dxfId="0">
      <formula>27</formula>
    </cfRule>
    <cfRule type="cellIs" priority="288" operator="equal" dxfId="0">
      <formula>9</formula>
    </cfRule>
    <cfRule type="cellIs" priority="283" operator="equal" dxfId="0">
      <formula>54</formula>
    </cfRule>
  </conditionalFormatting>
  <conditionalFormatting sqref="V12:V13">
    <cfRule type="cellIs" priority="200" operator="equal" dxfId="0">
      <formula>20</formula>
    </cfRule>
    <cfRule type="cellIs" priority="199" operator="equal" dxfId="0">
      <formula>25</formula>
    </cfRule>
    <cfRule type="cellIs" priority="229" operator="equal" dxfId="0">
      <formula>200</formula>
    </cfRule>
    <cfRule type="cellIs" priority="231" operator="equal" dxfId="0">
      <formula>250</formula>
    </cfRule>
    <cfRule type="cellIs" priority="232" operator="equal" dxfId="0">
      <formula>275</formula>
    </cfRule>
    <cfRule type="cellIs" priority="233" operator="equal" dxfId="0">
      <formula>300</formula>
    </cfRule>
    <cfRule type="cellIs" priority="234" operator="equal" dxfId="0">
      <formula>325</formula>
    </cfRule>
    <cfRule type="cellIs" priority="235" operator="equal" dxfId="0">
      <formula>350</formula>
    </cfRule>
    <cfRule type="cellIs" priority="236" operator="equal" dxfId="0">
      <formula>375</formula>
    </cfRule>
    <cfRule type="cellIs" priority="237" operator="equal" dxfId="0">
      <formula>400</formula>
    </cfRule>
    <cfRule type="cellIs" priority="238" operator="equal" dxfId="0">
      <formula>425</formula>
    </cfRule>
    <cfRule type="cellIs" priority="239" operator="equal" dxfId="0">
      <formula>450</formula>
    </cfRule>
    <cfRule type="cellIs" priority="240" operator="equal" dxfId="0">
      <formula>475</formula>
    </cfRule>
    <cfRule type="cellIs" priority="241" operator="equal" dxfId="0">
      <formula>500</formula>
    </cfRule>
    <cfRule type="cellIs" priority="242" operator="equal" dxfId="0">
      <formula>525</formula>
    </cfRule>
    <cfRule type="cellIs" priority="243" operator="equal" dxfId="0">
      <formula>550</formula>
    </cfRule>
    <cfRule type="cellIs" priority="244" operator="equal" dxfId="0">
      <formula>575</formula>
    </cfRule>
    <cfRule type="cellIs" priority="245" operator="equal" dxfId="0">
      <formula>600</formula>
    </cfRule>
    <cfRule type="cellIs" priority="226" operator="equal" dxfId="0">
      <formula>125</formula>
    </cfRule>
    <cfRule type="cellIs" priority="224" operator="equal" dxfId="0">
      <formula>50</formula>
    </cfRule>
    <cfRule type="cellIs" priority="222" operator="equal" dxfId="0">
      <formula>100</formula>
    </cfRule>
    <cfRule type="cellIs" priority="221" operator="equal" dxfId="0">
      <formula>625</formula>
    </cfRule>
    <cfRule type="cellIs" priority="220" operator="equal" dxfId="0">
      <formula>650</formula>
    </cfRule>
    <cfRule type="cellIs" priority="219" operator="equal" dxfId="0">
      <formula>675</formula>
    </cfRule>
    <cfRule type="cellIs" priority="218" operator="equal" dxfId="0">
      <formula>700</formula>
    </cfRule>
    <cfRule type="cellIs" priority="217" operator="equal" dxfId="0">
      <formula>725</formula>
    </cfRule>
    <cfRule type="cellIs" priority="216" operator="equal" dxfId="0">
      <formula>750</formula>
    </cfRule>
    <cfRule type="cellIs" priority="215" operator="equal" dxfId="0">
      <formula>775</formula>
    </cfRule>
    <cfRule type="cellIs" priority="214" operator="equal" dxfId="0">
      <formula>800</formula>
    </cfRule>
    <cfRule type="cellIs" priority="213" operator="equal" dxfId="0">
      <formula>825</formula>
    </cfRule>
    <cfRule type="cellIs" priority="212" operator="equal" dxfId="0">
      <formula>850</formula>
    </cfRule>
    <cfRule type="cellIs" priority="211" operator="equal" dxfId="0">
      <formula>875</formula>
    </cfRule>
    <cfRule type="cellIs" priority="210" operator="equal" dxfId="0">
      <formula>900</formula>
    </cfRule>
    <cfRule type="cellIs" priority="209" operator="equal" dxfId="0">
      <formula>925</formula>
    </cfRule>
    <cfRule type="cellIs" priority="203" operator="equal" dxfId="0">
      <formula>5</formula>
    </cfRule>
    <cfRule type="cellIs" priority="202" operator="equal" dxfId="0">
      <formula>10</formula>
    </cfRule>
    <cfRule type="cellIs" priority="228" operator="equal" dxfId="0">
      <formula>175</formula>
    </cfRule>
  </conditionalFormatting>
  <conditionalFormatting sqref="V16 W3:W13">
    <cfRule type="cellIs" priority="785" operator="equal" dxfId="0">
      <formula>25</formula>
    </cfRule>
  </conditionalFormatting>
  <pageMargins left="0.7086614173228347" right="0.7086614173228347" top="0.7480314960629921" bottom="0.7480314960629921" header="0.3149606299212598" footer="0.3149606299212598"/>
  <pageSetup orientation="portrait" scale="65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topLeftCell="A31" workbookViewId="0">
      <selection activeCell="F12" sqref="F12"/>
    </sheetView>
  </sheetViews>
  <sheetFormatPr baseColWidth="10" defaultColWidth="11.5" defaultRowHeight="15"/>
  <sheetData>
    <row r="1">
      <c r="A1" t="inlineStr">
        <is>
          <t>B000302792</t>
        </is>
      </c>
      <c r="B1" t="n">
        <v>4000065</v>
      </c>
      <c r="C1" t="n">
        <v>2</v>
      </c>
      <c r="D1" t="n">
        <v>0</v>
      </c>
      <c r="E1" t="n">
        <v>1000</v>
      </c>
      <c r="F1" t="n">
        <v>1004</v>
      </c>
      <c r="G1" t="inlineStr">
        <is>
          <t>Pedido WEB nro.1411479</t>
        </is>
      </c>
    </row>
    <row r="2">
      <c r="A2" t="inlineStr">
        <is>
          <t>B000302792</t>
        </is>
      </c>
      <c r="B2" t="n">
        <v>6002678</v>
      </c>
      <c r="C2" t="n">
        <v>1</v>
      </c>
      <c r="D2" t="n">
        <v>0</v>
      </c>
      <c r="E2" t="n">
        <v>1000</v>
      </c>
      <c r="F2" t="n">
        <v>1004</v>
      </c>
      <c r="G2" t="inlineStr">
        <is>
          <t>Pedido WEB nro.1411479</t>
        </is>
      </c>
    </row>
    <row r="3">
      <c r="A3" t="inlineStr">
        <is>
          <t>B000302792</t>
        </is>
      </c>
      <c r="B3" t="n">
        <v>6002672</v>
      </c>
      <c r="C3" t="n">
        <v>1</v>
      </c>
      <c r="D3" t="n">
        <v>0</v>
      </c>
      <c r="E3" t="n">
        <v>1000</v>
      </c>
      <c r="F3" t="n">
        <v>1004</v>
      </c>
      <c r="G3" t="inlineStr">
        <is>
          <t>Pedido WEB nro.1411479</t>
        </is>
      </c>
    </row>
    <row r="4">
      <c r="A4" t="inlineStr">
        <is>
          <t>B000302792</t>
        </is>
      </c>
      <c r="B4" t="n">
        <v>6002675</v>
      </c>
      <c r="C4" t="n">
        <v>1</v>
      </c>
      <c r="D4" t="n">
        <v>0</v>
      </c>
      <c r="E4" t="n">
        <v>1000</v>
      </c>
      <c r="F4" t="n">
        <v>1004</v>
      </c>
      <c r="G4" t="inlineStr">
        <is>
          <t>Pedido WEB nro.1411479</t>
        </is>
      </c>
    </row>
    <row r="5">
      <c r="A5" t="inlineStr">
        <is>
          <t>B000302792</t>
        </is>
      </c>
      <c r="B5" t="n">
        <v>6002712</v>
      </c>
      <c r="C5" t="n">
        <v>1</v>
      </c>
      <c r="D5" t="n">
        <v>0</v>
      </c>
      <c r="E5" t="n">
        <v>1000</v>
      </c>
      <c r="F5" t="n">
        <v>1004</v>
      </c>
      <c r="G5" t="inlineStr">
        <is>
          <t>Pedido WEB nro.1411479</t>
        </is>
      </c>
    </row>
    <row r="6">
      <c r="A6" t="inlineStr">
        <is>
          <t>B000302792</t>
        </is>
      </c>
      <c r="B6" t="n">
        <v>6003150</v>
      </c>
      <c r="C6" t="n">
        <v>1</v>
      </c>
      <c r="D6" t="n">
        <v>0</v>
      </c>
      <c r="E6" t="n">
        <v>1000</v>
      </c>
      <c r="F6" t="n">
        <v>1004</v>
      </c>
      <c r="G6" t="inlineStr">
        <is>
          <t>Pedido WEB nro.1411479</t>
        </is>
      </c>
    </row>
    <row r="7">
      <c r="A7" t="inlineStr">
        <is>
          <t>B000302792</t>
        </is>
      </c>
      <c r="B7" t="n">
        <v>4000670</v>
      </c>
      <c r="C7" t="n">
        <v>3</v>
      </c>
      <c r="D7" t="n">
        <v>0</v>
      </c>
      <c r="E7" t="n">
        <v>1000</v>
      </c>
      <c r="F7" t="n">
        <v>1004</v>
      </c>
      <c r="G7" t="inlineStr">
        <is>
          <t>Pedido WEB nro.1411479</t>
        </is>
      </c>
    </row>
    <row r="8">
      <c r="A8" t="inlineStr">
        <is>
          <t>B000302792</t>
        </is>
      </c>
      <c r="B8" t="n">
        <v>4000341</v>
      </c>
      <c r="C8" t="n">
        <v>2</v>
      </c>
      <c r="D8" t="n">
        <v>0</v>
      </c>
      <c r="E8" t="n">
        <v>1000</v>
      </c>
      <c r="F8" t="n">
        <v>1004</v>
      </c>
      <c r="G8" t="inlineStr">
        <is>
          <t>Pedido WEB nro.1411479</t>
        </is>
      </c>
    </row>
    <row r="9">
      <c r="A9" t="inlineStr">
        <is>
          <t>B000302792</t>
        </is>
      </c>
      <c r="B9" t="n">
        <v>4000152</v>
      </c>
      <c r="C9" t="n">
        <v>2</v>
      </c>
      <c r="D9" t="n">
        <v>0</v>
      </c>
      <c r="E9" t="n">
        <v>1000</v>
      </c>
      <c r="F9" t="n">
        <v>1004</v>
      </c>
      <c r="G9" t="inlineStr">
        <is>
          <t>Pedido WEB nro.1411479</t>
        </is>
      </c>
    </row>
    <row r="10">
      <c r="A10" t="inlineStr">
        <is>
          <t>B000302792</t>
        </is>
      </c>
      <c r="B10" t="n">
        <v>4000162</v>
      </c>
      <c r="C10" t="n">
        <v>2</v>
      </c>
      <c r="D10" t="n">
        <v>0</v>
      </c>
      <c r="E10" t="n">
        <v>1000</v>
      </c>
      <c r="F10" t="n">
        <v>1004</v>
      </c>
      <c r="G10" t="inlineStr">
        <is>
          <t>Pedido WEB nro.1411479</t>
        </is>
      </c>
    </row>
    <row r="11">
      <c r="A11" t="inlineStr">
        <is>
          <t>B000302792</t>
        </is>
      </c>
      <c r="B11" t="n">
        <v>4000160</v>
      </c>
      <c r="C11" t="n">
        <v>5</v>
      </c>
      <c r="D11" t="n">
        <v>0</v>
      </c>
      <c r="E11" t="n">
        <v>1000</v>
      </c>
      <c r="F11" t="n">
        <v>1004</v>
      </c>
      <c r="G11" t="inlineStr">
        <is>
          <t>Pedido WEB nro.1411479</t>
        </is>
      </c>
    </row>
    <row r="12">
      <c r="A12" t="inlineStr">
        <is>
          <t>B000302792</t>
        </is>
      </c>
      <c r="B12" t="n">
        <v>4000153</v>
      </c>
      <c r="C12" t="n">
        <v>3</v>
      </c>
      <c r="D12" t="n">
        <v>0</v>
      </c>
      <c r="E12" t="n">
        <v>1000</v>
      </c>
      <c r="F12" t="n">
        <v>1004</v>
      </c>
      <c r="G12" t="inlineStr">
        <is>
          <t>Pedido WEB nro.1411479</t>
        </is>
      </c>
    </row>
    <row r="13">
      <c r="A13" t="inlineStr">
        <is>
          <t>B000302792</t>
        </is>
      </c>
      <c r="B13" t="n">
        <v>4000158</v>
      </c>
      <c r="C13" t="n">
        <v>2</v>
      </c>
      <c r="D13" t="n">
        <v>0</v>
      </c>
      <c r="E13" t="n">
        <v>1000</v>
      </c>
      <c r="F13" t="n">
        <v>1004</v>
      </c>
      <c r="G13" t="inlineStr">
        <is>
          <t>Pedido WEB nro.1411479</t>
        </is>
      </c>
    </row>
    <row r="14">
      <c r="A14" t="inlineStr">
        <is>
          <t>B000302792</t>
        </is>
      </c>
      <c r="B14" t="n">
        <v>4000155</v>
      </c>
      <c r="C14" t="n">
        <v>3</v>
      </c>
      <c r="D14" t="n">
        <v>0</v>
      </c>
      <c r="E14" t="n">
        <v>1000</v>
      </c>
      <c r="F14" t="n">
        <v>1004</v>
      </c>
      <c r="G14" t="inlineStr">
        <is>
          <t>Pedido WEB nro.1411479</t>
        </is>
      </c>
    </row>
    <row r="15">
      <c r="A15" t="inlineStr">
        <is>
          <t>B000302792</t>
        </is>
      </c>
      <c r="B15" t="n">
        <v>4000163</v>
      </c>
      <c r="C15" t="n">
        <v>6</v>
      </c>
      <c r="D15" t="n">
        <v>0</v>
      </c>
      <c r="E15" t="n">
        <v>1000</v>
      </c>
      <c r="F15" t="n">
        <v>1004</v>
      </c>
      <c r="G15" t="inlineStr">
        <is>
          <t>Pedido WEB nro.1411479</t>
        </is>
      </c>
    </row>
    <row r="16">
      <c r="A16" t="inlineStr">
        <is>
          <t>B000302792</t>
        </is>
      </c>
      <c r="B16" t="n">
        <v>4000165</v>
      </c>
      <c r="C16" t="n">
        <v>5</v>
      </c>
      <c r="D16" t="n">
        <v>0</v>
      </c>
      <c r="E16" t="n">
        <v>1000</v>
      </c>
      <c r="F16" t="n">
        <v>1004</v>
      </c>
      <c r="G16" t="inlineStr">
        <is>
          <t>Pedido WEB nro.1411479</t>
        </is>
      </c>
    </row>
    <row r="17">
      <c r="A17" t="inlineStr">
        <is>
          <t>B000302792</t>
        </is>
      </c>
      <c r="B17" t="n">
        <v>4000164</v>
      </c>
      <c r="C17" t="n">
        <v>6</v>
      </c>
      <c r="D17" t="n">
        <v>0</v>
      </c>
      <c r="E17" t="n">
        <v>1000</v>
      </c>
      <c r="F17" t="n">
        <v>1004</v>
      </c>
      <c r="G17" t="inlineStr">
        <is>
          <t>Pedido WEB nro.1411479</t>
        </is>
      </c>
    </row>
    <row r="18">
      <c r="A18" t="inlineStr">
        <is>
          <t>B000302792</t>
        </is>
      </c>
      <c r="B18" t="n">
        <v>4000166</v>
      </c>
      <c r="C18" t="n">
        <v>5</v>
      </c>
      <c r="D18" t="n">
        <v>0</v>
      </c>
      <c r="E18" t="n">
        <v>1000</v>
      </c>
      <c r="F18" t="n">
        <v>1004</v>
      </c>
      <c r="G18" t="inlineStr">
        <is>
          <t>Pedido WEB nro.1411479</t>
        </is>
      </c>
    </row>
    <row r="19">
      <c r="A19" t="inlineStr">
        <is>
          <t>B000302792</t>
        </is>
      </c>
      <c r="B19" t="n">
        <v>4000843</v>
      </c>
      <c r="C19" t="n">
        <v>12</v>
      </c>
      <c r="D19" t="n">
        <v>0</v>
      </c>
      <c r="E19" t="n">
        <v>1000</v>
      </c>
      <c r="F19" t="n">
        <v>1004</v>
      </c>
      <c r="G19" t="inlineStr">
        <is>
          <t>Pedido WEB nro.1411479</t>
        </is>
      </c>
    </row>
    <row r="20">
      <c r="A20" t="inlineStr">
        <is>
          <t>B000302792</t>
        </is>
      </c>
      <c r="B20" t="n">
        <v>4000835</v>
      </c>
      <c r="C20" t="n">
        <v>12</v>
      </c>
      <c r="D20" t="n">
        <v>0</v>
      </c>
      <c r="E20" t="n">
        <v>1000</v>
      </c>
      <c r="F20" t="n">
        <v>1004</v>
      </c>
      <c r="G20" t="inlineStr">
        <is>
          <t>Pedido WEB nro.1411479</t>
        </is>
      </c>
    </row>
    <row r="21">
      <c r="A21" t="inlineStr">
        <is>
          <t>B000302792</t>
        </is>
      </c>
      <c r="B21" t="n">
        <v>4000446</v>
      </c>
      <c r="C21" t="n">
        <v>8</v>
      </c>
      <c r="D21" t="n">
        <v>0</v>
      </c>
      <c r="E21" t="n">
        <v>1000</v>
      </c>
      <c r="F21" t="n">
        <v>1004</v>
      </c>
      <c r="G21" t="inlineStr">
        <is>
          <t>Pedido WEB nro.1411479</t>
        </is>
      </c>
    </row>
    <row r="22">
      <c r="A22" t="inlineStr">
        <is>
          <t>B000302792</t>
        </is>
      </c>
      <c r="B22" t="n">
        <v>4000593</v>
      </c>
      <c r="C22" t="n">
        <v>3</v>
      </c>
      <c r="D22" t="n">
        <v>0</v>
      </c>
      <c r="E22" t="n">
        <v>1000</v>
      </c>
      <c r="F22" t="n">
        <v>1004</v>
      </c>
      <c r="G22" t="inlineStr">
        <is>
          <t>Pedido WEB nro.1411479</t>
        </is>
      </c>
    </row>
    <row r="23">
      <c r="A23" t="inlineStr">
        <is>
          <t>B000302792</t>
        </is>
      </c>
      <c r="B23" t="n">
        <v>4000144</v>
      </c>
      <c r="C23" t="n">
        <v>2</v>
      </c>
      <c r="D23" t="n">
        <v>0</v>
      </c>
      <c r="E23" t="n">
        <v>1000</v>
      </c>
      <c r="F23" t="n">
        <v>1004</v>
      </c>
      <c r="G23" t="inlineStr">
        <is>
          <t>Pedido WEB nro.1411479</t>
        </is>
      </c>
    </row>
    <row r="24">
      <c r="A24" t="inlineStr">
        <is>
          <t>B000302792</t>
        </is>
      </c>
      <c r="B24" t="n">
        <v>6003157</v>
      </c>
      <c r="C24" t="n">
        <v>1</v>
      </c>
      <c r="D24" t="n">
        <v>0</v>
      </c>
      <c r="E24" t="n">
        <v>1000</v>
      </c>
      <c r="F24" t="n">
        <v>1004</v>
      </c>
      <c r="G24" t="inlineStr">
        <is>
          <t>Pedido WEB nro.1411479</t>
        </is>
      </c>
    </row>
    <row r="25">
      <c r="A25" t="inlineStr">
        <is>
          <t>B000302792</t>
        </is>
      </c>
      <c r="B25" t="n">
        <v>6003154</v>
      </c>
      <c r="C25" t="n">
        <v>2</v>
      </c>
      <c r="D25" t="n">
        <v>0</v>
      </c>
      <c r="E25" t="n">
        <v>1000</v>
      </c>
      <c r="F25" t="n">
        <v>1004</v>
      </c>
      <c r="G25" t="inlineStr">
        <is>
          <t>Pedido WEB nro.1411479</t>
        </is>
      </c>
    </row>
    <row r="26">
      <c r="A26" t="inlineStr">
        <is>
          <t>B000302792</t>
        </is>
      </c>
      <c r="B26" t="n">
        <v>6003152</v>
      </c>
      <c r="C26" t="n">
        <v>2</v>
      </c>
      <c r="D26" t="n">
        <v>0</v>
      </c>
      <c r="E26" t="n">
        <v>1000</v>
      </c>
      <c r="F26" t="n">
        <v>1004</v>
      </c>
      <c r="G26" t="inlineStr">
        <is>
          <t>Pedido WEB nro.1411479</t>
        </is>
      </c>
    </row>
    <row r="27">
      <c r="A27" t="inlineStr">
        <is>
          <t>B000302792</t>
        </is>
      </c>
      <c r="B27" t="n">
        <v>6003151</v>
      </c>
      <c r="C27" t="n">
        <v>2</v>
      </c>
      <c r="D27" t="n">
        <v>0</v>
      </c>
      <c r="E27" t="n">
        <v>1000</v>
      </c>
      <c r="F27" t="n">
        <v>1004</v>
      </c>
      <c r="G27" t="inlineStr">
        <is>
          <t>Pedido WEB nro.1411479</t>
        </is>
      </c>
    </row>
    <row r="28">
      <c r="A28" t="inlineStr">
        <is>
          <t>B000302792</t>
        </is>
      </c>
      <c r="B28" t="n">
        <v>4000742</v>
      </c>
      <c r="C28" t="n">
        <v>10</v>
      </c>
      <c r="D28" t="n">
        <v>0</v>
      </c>
      <c r="E28" t="n">
        <v>1000</v>
      </c>
      <c r="F28" t="n">
        <v>1004</v>
      </c>
      <c r="G28" t="inlineStr">
        <is>
          <t>Pedido WEB nro.1411479</t>
        </is>
      </c>
    </row>
    <row r="29">
      <c r="A29" t="inlineStr">
        <is>
          <t>B000302792</t>
        </is>
      </c>
      <c r="B29" t="n">
        <v>4000145</v>
      </c>
      <c r="C29" t="n">
        <v>5</v>
      </c>
      <c r="D29" t="n">
        <v>0</v>
      </c>
      <c r="E29" t="n">
        <v>1000</v>
      </c>
      <c r="F29" t="n">
        <v>1004</v>
      </c>
      <c r="G29" t="inlineStr">
        <is>
          <t>Pedido WEB nro.1411479</t>
        </is>
      </c>
    </row>
    <row r="30">
      <c r="A30" t="inlineStr">
        <is>
          <t>B000302792</t>
        </is>
      </c>
      <c r="B30" t="n">
        <v>4000146</v>
      </c>
      <c r="C30" t="n">
        <v>7</v>
      </c>
      <c r="D30" t="n">
        <v>0</v>
      </c>
      <c r="E30" t="n">
        <v>1000</v>
      </c>
      <c r="F30" t="n">
        <v>1004</v>
      </c>
      <c r="G30" t="inlineStr">
        <is>
          <t>Pedido WEB nro.1411479</t>
        </is>
      </c>
    </row>
    <row r="31">
      <c r="A31" t="inlineStr">
        <is>
          <t>B000302792</t>
        </is>
      </c>
      <c r="B31" t="n">
        <v>4000142</v>
      </c>
      <c r="C31" t="n">
        <v>5</v>
      </c>
      <c r="D31" t="n">
        <v>0</v>
      </c>
      <c r="E31" t="n">
        <v>1000</v>
      </c>
      <c r="F31" t="n">
        <v>1004</v>
      </c>
      <c r="G31" t="inlineStr">
        <is>
          <t>Pedido WEB nro.1411479</t>
        </is>
      </c>
    </row>
    <row r="32">
      <c r="A32" t="inlineStr">
        <is>
          <t>B000302792</t>
        </is>
      </c>
      <c r="B32" t="n">
        <v>4000148</v>
      </c>
      <c r="C32" t="n">
        <v>4</v>
      </c>
      <c r="D32" t="n">
        <v>0</v>
      </c>
      <c r="E32" t="n">
        <v>1000</v>
      </c>
      <c r="F32" t="n">
        <v>1004</v>
      </c>
      <c r="G32" t="inlineStr">
        <is>
          <t>Pedido WEB nro.1411479</t>
        </is>
      </c>
    </row>
    <row r="33">
      <c r="A33" t="inlineStr">
        <is>
          <t>B000302792</t>
        </is>
      </c>
      <c r="B33" t="n">
        <v>4000147</v>
      </c>
      <c r="C33" t="n">
        <v>14</v>
      </c>
      <c r="D33" t="n">
        <v>0</v>
      </c>
      <c r="E33" t="n">
        <v>1000</v>
      </c>
      <c r="F33" t="n">
        <v>1004</v>
      </c>
      <c r="G33" t="inlineStr">
        <is>
          <t>Pedido WEB nro.1411479</t>
        </is>
      </c>
    </row>
    <row r="34">
      <c r="A34" t="inlineStr">
        <is>
          <t>B000302792</t>
        </is>
      </c>
      <c r="B34" t="n">
        <v>4000143</v>
      </c>
      <c r="C34" t="n">
        <v>6</v>
      </c>
      <c r="D34" t="n">
        <v>0</v>
      </c>
      <c r="E34" t="n">
        <v>1000</v>
      </c>
      <c r="F34" t="n">
        <v>1004</v>
      </c>
      <c r="G34" t="inlineStr">
        <is>
          <t>Pedido WEB nro.1411479</t>
        </is>
      </c>
    </row>
    <row r="35">
      <c r="A35" t="inlineStr">
        <is>
          <t>B000302792</t>
        </is>
      </c>
      <c r="B35" t="n">
        <v>4000139</v>
      </c>
      <c r="C35" t="n">
        <v>6</v>
      </c>
      <c r="D35" t="n">
        <v>0</v>
      </c>
      <c r="E35" t="n">
        <v>1000</v>
      </c>
      <c r="F35" t="n">
        <v>1004</v>
      </c>
      <c r="G35" t="inlineStr">
        <is>
          <t>Pedido WEB nro.1411479</t>
        </is>
      </c>
    </row>
    <row r="36">
      <c r="A36" t="inlineStr">
        <is>
          <t>B000302792</t>
        </is>
      </c>
      <c r="B36" t="n">
        <v>4000141</v>
      </c>
      <c r="C36" t="n">
        <v>7</v>
      </c>
      <c r="D36" t="n">
        <v>0</v>
      </c>
      <c r="E36" t="n">
        <v>1000</v>
      </c>
      <c r="F36" t="n">
        <v>1004</v>
      </c>
      <c r="G36" t="inlineStr">
        <is>
          <t>Pedido WEB nro.1411479</t>
        </is>
      </c>
    </row>
    <row r="37">
      <c r="A37" t="inlineStr">
        <is>
          <t>B000302792</t>
        </is>
      </c>
      <c r="B37" t="n">
        <v>4000138</v>
      </c>
      <c r="C37" t="n">
        <v>13</v>
      </c>
      <c r="D37" t="n">
        <v>0</v>
      </c>
      <c r="E37" t="n">
        <v>1000</v>
      </c>
      <c r="F37" t="n">
        <v>1004</v>
      </c>
      <c r="G37" t="inlineStr">
        <is>
          <t>Pedido WEB nro.1411479</t>
        </is>
      </c>
    </row>
    <row r="38">
      <c r="A38" t="inlineStr">
        <is>
          <t>B000302792</t>
        </is>
      </c>
      <c r="B38" t="n">
        <v>4000140</v>
      </c>
      <c r="C38" t="n">
        <v>14</v>
      </c>
      <c r="D38" t="n">
        <v>0</v>
      </c>
      <c r="E38" t="n">
        <v>1000</v>
      </c>
      <c r="F38" t="n">
        <v>1004</v>
      </c>
      <c r="G38" t="inlineStr">
        <is>
          <t>Pedido WEB nro.1411479</t>
        </is>
      </c>
    </row>
    <row r="39">
      <c r="A39" t="inlineStr">
        <is>
          <t>B000302792</t>
        </is>
      </c>
      <c r="B39" t="n">
        <v>4000137</v>
      </c>
      <c r="C39" t="n">
        <v>4</v>
      </c>
      <c r="D39" t="n">
        <v>0</v>
      </c>
      <c r="E39" t="n">
        <v>1000</v>
      </c>
      <c r="F39" t="n">
        <v>1004</v>
      </c>
      <c r="G39" t="inlineStr">
        <is>
          <t>Pedido WEB nro.1411479</t>
        </is>
      </c>
    </row>
    <row r="40">
      <c r="A40" t="inlineStr">
        <is>
          <t>B000302792</t>
        </is>
      </c>
      <c r="B40" t="n">
        <v>4000067</v>
      </c>
      <c r="C40" t="n">
        <v>6</v>
      </c>
      <c r="D40" t="n">
        <v>0</v>
      </c>
      <c r="E40" t="n">
        <v>1000</v>
      </c>
      <c r="F40" t="n">
        <v>1004</v>
      </c>
      <c r="G40" t="inlineStr">
        <is>
          <t>Pedido WEB nro.1411479</t>
        </is>
      </c>
    </row>
    <row r="41">
      <c r="A41" t="inlineStr">
        <is>
          <t>B000302792</t>
        </is>
      </c>
      <c r="B41" t="n">
        <v>4000069</v>
      </c>
      <c r="C41" t="n">
        <v>3</v>
      </c>
      <c r="D41" t="n">
        <v>0</v>
      </c>
      <c r="E41" t="n">
        <v>1000</v>
      </c>
      <c r="F41" t="n">
        <v>1004</v>
      </c>
      <c r="G41" t="inlineStr">
        <is>
          <t>Pedido WEB nro.1411479</t>
        </is>
      </c>
    </row>
    <row r="42">
      <c r="A42" t="inlineStr">
        <is>
          <t>B000302792</t>
        </is>
      </c>
      <c r="B42" t="n">
        <v>4000071</v>
      </c>
      <c r="C42" t="n">
        <v>2</v>
      </c>
      <c r="D42" t="n">
        <v>0</v>
      </c>
      <c r="E42" t="n">
        <v>1000</v>
      </c>
      <c r="F42" t="n">
        <v>1004</v>
      </c>
      <c r="G42" t="inlineStr">
        <is>
          <t>Pedido WEB nro.1411479</t>
        </is>
      </c>
    </row>
    <row r="43">
      <c r="A43" t="inlineStr">
        <is>
          <t>B000302792</t>
        </is>
      </c>
      <c r="B43" t="n">
        <v>4000066</v>
      </c>
      <c r="C43" t="n">
        <v>2</v>
      </c>
      <c r="D43" t="n">
        <v>0</v>
      </c>
      <c r="E43" t="n">
        <v>1000</v>
      </c>
      <c r="F43" t="n">
        <v>1004</v>
      </c>
      <c r="G43" t="inlineStr">
        <is>
          <t>Pedido WEB nro.1411479</t>
        </is>
      </c>
    </row>
    <row r="44">
      <c r="A44" t="inlineStr">
        <is>
          <t>B000302792</t>
        </is>
      </c>
      <c r="B44" t="n">
        <v>4000068</v>
      </c>
      <c r="C44" t="n">
        <v>4</v>
      </c>
      <c r="D44" t="n">
        <v>0</v>
      </c>
      <c r="E44" t="n">
        <v>1000</v>
      </c>
      <c r="F44" t="n">
        <v>1004</v>
      </c>
      <c r="G44" t="inlineStr">
        <is>
          <t>Pedido WEB nro.1411479</t>
        </is>
      </c>
    </row>
    <row r="45">
      <c r="A45" t="inlineStr">
        <is>
          <t>B000302792</t>
        </is>
      </c>
      <c r="B45" t="n">
        <v>4000316</v>
      </c>
      <c r="C45" t="n">
        <v>2</v>
      </c>
      <c r="D45" t="n">
        <v>0</v>
      </c>
      <c r="E45" t="n">
        <v>1000</v>
      </c>
      <c r="F45" t="n">
        <v>1004</v>
      </c>
      <c r="G45" t="inlineStr">
        <is>
          <t>Pedido WEB nro.1411479</t>
        </is>
      </c>
    </row>
    <row r="46">
      <c r="A46" t="inlineStr">
        <is>
          <t>B000302792</t>
        </is>
      </c>
      <c r="B46" t="n">
        <v>4000062</v>
      </c>
      <c r="C46" t="n">
        <v>2</v>
      </c>
      <c r="D46" t="n">
        <v>0</v>
      </c>
      <c r="E46" t="n">
        <v>1000</v>
      </c>
      <c r="F46" t="n">
        <v>1004</v>
      </c>
      <c r="G46" t="inlineStr">
        <is>
          <t>Pedido WEB nro.1411479</t>
        </is>
      </c>
    </row>
    <row r="47">
      <c r="A47" t="inlineStr">
        <is>
          <t>B000302792</t>
        </is>
      </c>
      <c r="B47" t="n">
        <v>4000064</v>
      </c>
      <c r="C47" t="n">
        <v>6</v>
      </c>
      <c r="D47" t="n">
        <v>0</v>
      </c>
      <c r="E47" t="n">
        <v>1000</v>
      </c>
      <c r="F47" t="n">
        <v>1004</v>
      </c>
      <c r="G47" t="inlineStr">
        <is>
          <t>Pedido WEB nro.1411479</t>
        </is>
      </c>
    </row>
    <row r="48">
      <c r="A48" t="inlineStr">
        <is>
          <t>B000302792</t>
        </is>
      </c>
      <c r="B48" t="n">
        <v>4000058</v>
      </c>
      <c r="C48" t="n">
        <v>6</v>
      </c>
      <c r="D48" t="n">
        <v>0</v>
      </c>
      <c r="E48" t="n">
        <v>1000</v>
      </c>
      <c r="F48" t="n">
        <v>1004</v>
      </c>
      <c r="G48" t="inlineStr">
        <is>
          <t>Pedido WEB nro.1411479</t>
        </is>
      </c>
    </row>
    <row r="49">
      <c r="A49" t="inlineStr">
        <is>
          <t>B000302792</t>
        </is>
      </c>
      <c r="B49" t="n">
        <v>4000070</v>
      </c>
      <c r="C49" t="n">
        <v>6</v>
      </c>
      <c r="D49" t="n">
        <v>0</v>
      </c>
      <c r="E49" t="n">
        <v>1000</v>
      </c>
      <c r="F49" t="n">
        <v>1004</v>
      </c>
      <c r="G49" t="inlineStr">
        <is>
          <t>Pedido WEB nro.1411479</t>
        </is>
      </c>
    </row>
    <row r="50">
      <c r="A50" t="inlineStr">
        <is>
          <t>B000302792</t>
        </is>
      </c>
      <c r="B50" t="n">
        <v>4000054</v>
      </c>
      <c r="C50" t="n">
        <v>4</v>
      </c>
      <c r="D50" t="n">
        <v>0</v>
      </c>
      <c r="E50" t="n">
        <v>1000</v>
      </c>
      <c r="F50" t="n">
        <v>1004</v>
      </c>
      <c r="G50" t="inlineStr">
        <is>
          <t>Pedido WEB nro.1411479</t>
        </is>
      </c>
    </row>
    <row r="51">
      <c r="A51" t="inlineStr">
        <is>
          <t>B000302792</t>
        </is>
      </c>
      <c r="B51" t="n">
        <v>4000057</v>
      </c>
      <c r="C51" t="n">
        <v>4</v>
      </c>
      <c r="D51" t="n">
        <v>0</v>
      </c>
      <c r="E51" t="n">
        <v>1000</v>
      </c>
      <c r="F51" t="n">
        <v>1004</v>
      </c>
      <c r="G51" t="inlineStr">
        <is>
          <t>Pedido WEB nro.1411479</t>
        </is>
      </c>
    </row>
    <row r="52">
      <c r="A52" t="inlineStr">
        <is>
          <t>B000302792</t>
        </is>
      </c>
      <c r="B52" t="n">
        <v>4000055</v>
      </c>
      <c r="C52" t="n">
        <v>6</v>
      </c>
      <c r="D52" t="n">
        <v>0</v>
      </c>
      <c r="E52" t="n">
        <v>1000</v>
      </c>
      <c r="F52" t="n">
        <v>1004</v>
      </c>
      <c r="G52" t="inlineStr">
        <is>
          <t>Pedido WEB nro.1411479</t>
        </is>
      </c>
    </row>
    <row r="53">
      <c r="A53" t="inlineStr">
        <is>
          <t>B000302792</t>
        </is>
      </c>
      <c r="B53" t="n">
        <v>4000056</v>
      </c>
      <c r="C53" t="n">
        <v>2</v>
      </c>
      <c r="D53" t="n">
        <v>0</v>
      </c>
      <c r="E53" t="n">
        <v>1000</v>
      </c>
      <c r="F53" t="n">
        <v>1004</v>
      </c>
      <c r="G53" t="inlineStr">
        <is>
          <t>Pedido WEB nro.1411479</t>
        </is>
      </c>
    </row>
    <row r="54">
      <c r="A54" t="inlineStr">
        <is>
          <t>B000302792</t>
        </is>
      </c>
      <c r="B54" t="n">
        <v>4000046</v>
      </c>
      <c r="C54" t="n">
        <v>8</v>
      </c>
      <c r="D54" t="n">
        <v>0</v>
      </c>
      <c r="E54" t="n">
        <v>1000</v>
      </c>
      <c r="F54" t="n">
        <v>1004</v>
      </c>
      <c r="G54" t="inlineStr">
        <is>
          <t>Pedido WEB nro.1411479</t>
        </is>
      </c>
    </row>
    <row r="55">
      <c r="A55" t="inlineStr">
        <is>
          <t>B000302792</t>
        </is>
      </c>
      <c r="B55" t="n">
        <v>4000041</v>
      </c>
      <c r="C55" t="n">
        <v>10</v>
      </c>
      <c r="D55" t="n">
        <v>0</v>
      </c>
      <c r="E55" t="n">
        <v>1000</v>
      </c>
      <c r="F55" t="n">
        <v>1004</v>
      </c>
      <c r="G55" t="inlineStr">
        <is>
          <t>Pedido WEB nro.1411479</t>
        </is>
      </c>
    </row>
    <row r="56">
      <c r="A56" t="inlineStr">
        <is>
          <t>B000302792</t>
        </is>
      </c>
      <c r="B56" t="n">
        <v>4000040</v>
      </c>
      <c r="C56" t="n">
        <v>4</v>
      </c>
      <c r="D56" t="n">
        <v>0</v>
      </c>
      <c r="E56" t="n">
        <v>1000</v>
      </c>
      <c r="F56" t="n">
        <v>1004</v>
      </c>
      <c r="G56" t="inlineStr">
        <is>
          <t>Pedido WEB nro.1411479</t>
        </is>
      </c>
    </row>
    <row r="57">
      <c r="A57" t="inlineStr">
        <is>
          <t>B000302792</t>
        </is>
      </c>
      <c r="B57" t="n">
        <v>4000193</v>
      </c>
      <c r="C57" t="n">
        <v>6</v>
      </c>
      <c r="D57" t="n">
        <v>0</v>
      </c>
      <c r="E57" t="n">
        <v>1000</v>
      </c>
      <c r="F57" t="n">
        <v>1004</v>
      </c>
      <c r="G57" t="inlineStr">
        <is>
          <t>Pedido WEB nro.1411479</t>
        </is>
      </c>
    </row>
    <row r="58">
      <c r="A58" t="inlineStr">
        <is>
          <t>B000302792</t>
        </is>
      </c>
      <c r="B58" t="n">
        <v>4000051</v>
      </c>
      <c r="C58" t="n">
        <v>3</v>
      </c>
      <c r="D58" t="n">
        <v>0</v>
      </c>
      <c r="E58" t="n">
        <v>1000</v>
      </c>
      <c r="F58" t="n">
        <v>1004</v>
      </c>
      <c r="G58" t="inlineStr">
        <is>
          <t>Pedido WEB nro.1411479</t>
        </is>
      </c>
    </row>
    <row r="59">
      <c r="A59" t="inlineStr">
        <is>
          <t>B000302792</t>
        </is>
      </c>
      <c r="B59" t="n">
        <v>4000049</v>
      </c>
      <c r="C59" t="n">
        <v>6</v>
      </c>
      <c r="D59" t="n">
        <v>0</v>
      </c>
      <c r="E59" t="n">
        <v>1000</v>
      </c>
      <c r="F59" t="n">
        <v>1004</v>
      </c>
      <c r="G59" t="inlineStr">
        <is>
          <t>Pedido WEB nro.1411479</t>
        </is>
      </c>
    </row>
    <row r="60">
      <c r="A60" t="inlineStr">
        <is>
          <t>B000302792</t>
        </is>
      </c>
      <c r="B60" t="n">
        <v>4000048</v>
      </c>
      <c r="C60" t="n">
        <v>10</v>
      </c>
      <c r="D60" t="n">
        <v>0</v>
      </c>
      <c r="E60" t="n">
        <v>1000</v>
      </c>
      <c r="F60" t="n">
        <v>1004</v>
      </c>
      <c r="G60" t="inlineStr">
        <is>
          <t>Pedido WEB nro.1411479</t>
        </is>
      </c>
    </row>
    <row r="61">
      <c r="A61" t="inlineStr">
        <is>
          <t>B000302792</t>
        </is>
      </c>
      <c r="B61" t="n">
        <v>4000047</v>
      </c>
      <c r="C61" t="n">
        <v>5</v>
      </c>
      <c r="D61" t="n">
        <v>0</v>
      </c>
      <c r="E61" t="n">
        <v>1000</v>
      </c>
      <c r="F61" t="n">
        <v>1004</v>
      </c>
      <c r="G61" t="inlineStr">
        <is>
          <t>Pedido WEB nro.1411479</t>
        </is>
      </c>
    </row>
    <row r="62">
      <c r="A62" t="inlineStr">
        <is>
          <t>B000302792</t>
        </is>
      </c>
      <c r="B62" t="n">
        <v>4000045</v>
      </c>
      <c r="C62" t="n">
        <v>4</v>
      </c>
      <c r="D62" t="n">
        <v>0</v>
      </c>
      <c r="E62" t="n">
        <v>1000</v>
      </c>
      <c r="F62" t="n">
        <v>1004</v>
      </c>
      <c r="G62" t="inlineStr">
        <is>
          <t>Pedido WEB nro.1411479</t>
        </is>
      </c>
    </row>
    <row r="63">
      <c r="A63" t="inlineStr">
        <is>
          <t>B000302792</t>
        </is>
      </c>
      <c r="B63" t="n">
        <v>4000043</v>
      </c>
      <c r="C63" t="n">
        <v>10</v>
      </c>
      <c r="D63" t="n">
        <v>0</v>
      </c>
      <c r="E63" t="n">
        <v>1000</v>
      </c>
      <c r="F63" t="n">
        <v>1004</v>
      </c>
      <c r="G63" t="inlineStr">
        <is>
          <t>Pedido WEB nro.1411479</t>
        </is>
      </c>
    </row>
    <row r="64">
      <c r="A64" t="inlineStr">
        <is>
          <t>B000302792</t>
        </is>
      </c>
      <c r="B64" t="n">
        <v>4000042</v>
      </c>
      <c r="C64" t="n">
        <v>12</v>
      </c>
      <c r="D64" t="n">
        <v>0</v>
      </c>
      <c r="E64" t="n">
        <v>1000</v>
      </c>
      <c r="F64" t="n">
        <v>1004</v>
      </c>
      <c r="G64" t="inlineStr">
        <is>
          <t>Pedido WEB nro.1411479</t>
        </is>
      </c>
    </row>
    <row r="65">
      <c r="A65" t="inlineStr">
        <is>
          <t>B000302792</t>
        </is>
      </c>
      <c r="B65" t="n">
        <v>4000044</v>
      </c>
      <c r="C65" t="n">
        <v>5</v>
      </c>
      <c r="D65" t="n">
        <v>0</v>
      </c>
      <c r="E65" t="n">
        <v>1000</v>
      </c>
      <c r="F65" t="n">
        <v>1004</v>
      </c>
      <c r="G65" t="inlineStr">
        <is>
          <t>Pedido WEB nro.1411479</t>
        </is>
      </c>
    </row>
    <row r="66">
      <c r="A66" t="inlineStr">
        <is>
          <t>B000302792</t>
        </is>
      </c>
      <c r="B66" t="n">
        <v>4000050</v>
      </c>
      <c r="C66" t="n">
        <v>3</v>
      </c>
      <c r="D66" t="n">
        <v>0</v>
      </c>
      <c r="E66" t="n">
        <v>1000</v>
      </c>
      <c r="F66" t="n">
        <v>1004</v>
      </c>
      <c r="G66" t="inlineStr">
        <is>
          <t>Pedido WEB nro.1411479</t>
        </is>
      </c>
    </row>
    <row r="67">
      <c r="A67" t="inlineStr">
        <is>
          <t>B000302792</t>
        </is>
      </c>
      <c r="B67" t="n">
        <v>4000039</v>
      </c>
      <c r="C67" t="n">
        <v>2</v>
      </c>
      <c r="D67" t="n">
        <v>0</v>
      </c>
      <c r="E67" t="n">
        <v>1000</v>
      </c>
      <c r="F67" t="n">
        <v>1004</v>
      </c>
      <c r="G67" t="inlineStr">
        <is>
          <t>Pedido WEB nro.1411479</t>
        </is>
      </c>
    </row>
    <row r="68">
      <c r="A68" t="inlineStr">
        <is>
          <t>B000302792</t>
        </is>
      </c>
      <c r="B68" t="n">
        <v>4000038</v>
      </c>
      <c r="C68" t="n">
        <v>4</v>
      </c>
      <c r="D68" t="n">
        <v>0</v>
      </c>
      <c r="E68" t="n">
        <v>1000</v>
      </c>
      <c r="F68" t="n">
        <v>1004</v>
      </c>
      <c r="G68" t="inlineStr">
        <is>
          <t>Pedido WEB nro.1411479</t>
        </is>
      </c>
    </row>
    <row r="69">
      <c r="A69" t="inlineStr">
        <is>
          <t>B000302792</t>
        </is>
      </c>
      <c r="B69" t="n">
        <v>4000607</v>
      </c>
      <c r="C69" t="n">
        <v>4</v>
      </c>
      <c r="D69" t="n">
        <v>0</v>
      </c>
      <c r="E69" t="n">
        <v>1000</v>
      </c>
      <c r="F69" t="n">
        <v>1004</v>
      </c>
      <c r="G69" t="inlineStr">
        <is>
          <t>Pedido WEB nro.1411479</t>
        </is>
      </c>
    </row>
    <row r="70">
      <c r="A70" t="inlineStr">
        <is>
          <t>B000302792</t>
        </is>
      </c>
      <c r="B70" t="n">
        <v>4000036</v>
      </c>
      <c r="C70" t="n">
        <v>4</v>
      </c>
      <c r="D70" t="n">
        <v>0</v>
      </c>
      <c r="E70" t="n">
        <v>1000</v>
      </c>
      <c r="F70" t="n">
        <v>1004</v>
      </c>
      <c r="G70" t="inlineStr">
        <is>
          <t>Pedido WEB nro.1411479</t>
        </is>
      </c>
    </row>
    <row r="71">
      <c r="A71" t="inlineStr">
        <is>
          <t>B000302792</t>
        </is>
      </c>
      <c r="B71" t="n">
        <v>6002435</v>
      </c>
      <c r="C71" t="n">
        <v>2</v>
      </c>
      <c r="D71" t="n">
        <v>0</v>
      </c>
      <c r="E71" t="n">
        <v>1000</v>
      </c>
      <c r="F71" t="n">
        <v>1004</v>
      </c>
      <c r="G71" t="inlineStr">
        <is>
          <t>Pedido WEB nro.1411479</t>
        </is>
      </c>
    </row>
    <row r="72">
      <c r="A72" t="inlineStr">
        <is>
          <t>B000302792</t>
        </is>
      </c>
      <c r="B72" t="n">
        <v>6002679</v>
      </c>
      <c r="C72" t="n">
        <v>2</v>
      </c>
      <c r="D72" t="n">
        <v>0</v>
      </c>
      <c r="E72" t="n">
        <v>1000</v>
      </c>
      <c r="F72" t="n">
        <v>1004</v>
      </c>
      <c r="G72" t="inlineStr">
        <is>
          <t>Pedido WEB nro.1411479</t>
        </is>
      </c>
    </row>
    <row r="73">
      <c r="A73" t="inlineStr">
        <is>
          <t>B000302792</t>
        </is>
      </c>
      <c r="B73" t="n">
        <v>6002671</v>
      </c>
      <c r="C73" t="n">
        <v>2</v>
      </c>
      <c r="D73" t="n">
        <v>0</v>
      </c>
      <c r="E73" t="n">
        <v>1000</v>
      </c>
      <c r="F73" t="n">
        <v>1004</v>
      </c>
      <c r="G73" t="inlineStr">
        <is>
          <t>Pedido WEB nro.1411479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2">
    <outlinePr summaryBelow="1" summaryRight="1"/>
    <pageSetUpPr/>
  </sheetPr>
  <dimension ref="A1:B2170"/>
  <sheetViews>
    <sheetView workbookViewId="0">
      <selection activeCell="F5" sqref="F5"/>
    </sheetView>
  </sheetViews>
  <sheetFormatPr baseColWidth="10" defaultColWidth="11.5" defaultRowHeight="15"/>
  <cols>
    <col width="11.5" customWidth="1" style="73" min="1" max="1"/>
    <col width="49.5" bestFit="1" customWidth="1" min="2" max="2"/>
  </cols>
  <sheetData>
    <row r="1">
      <c r="A1" s="72" t="inlineStr">
        <is>
          <t>Klappen</t>
        </is>
      </c>
      <c r="B1" s="75" t="inlineStr">
        <is>
          <t>Titular FACTURABLE</t>
        </is>
      </c>
    </row>
    <row r="2">
      <c r="A2" s="73" t="inlineStr">
        <is>
          <t>100271-1</t>
        </is>
      </c>
      <c r="B2" t="inlineStr">
        <is>
          <t>CABRERA, GUSTAVO RAFAEL</t>
        </is>
      </c>
    </row>
    <row r="3">
      <c r="A3" s="73" t="inlineStr">
        <is>
          <t>100696-3</t>
        </is>
      </c>
      <c r="B3" t="inlineStr">
        <is>
          <t>PROGRESO J&amp;T S.A.</t>
        </is>
      </c>
    </row>
    <row r="4">
      <c r="A4" s="74" t="n">
        <v>100375</v>
      </c>
      <c r="B4" t="inlineStr">
        <is>
          <t>LIZONDO, MARIA GRACIELA</t>
        </is>
      </c>
    </row>
    <row r="5">
      <c r="A5" s="74" t="n">
        <v>100144</v>
      </c>
      <c r="B5" t="inlineStr">
        <is>
          <t>BOSCO, HECTOR JAVIER</t>
        </is>
      </c>
    </row>
    <row r="6">
      <c r="A6" s="74" t="n">
        <v>100143</v>
      </c>
      <c r="B6" t="inlineStr">
        <is>
          <t>SALVADOR, FERRER ALVAREZ</t>
        </is>
      </c>
    </row>
    <row r="7">
      <c r="A7" s="73" t="inlineStr">
        <is>
          <t>100697-1</t>
        </is>
      </c>
      <c r="B7" t="inlineStr">
        <is>
          <t>OCTI S.R.L.</t>
        </is>
      </c>
    </row>
    <row r="8">
      <c r="A8" s="73" t="inlineStr">
        <is>
          <t>101051-1</t>
        </is>
      </c>
      <c r="B8" t="inlineStr">
        <is>
          <t>CORDOBA HELADERIAS S.A.S.</t>
        </is>
      </c>
    </row>
    <row r="9">
      <c r="A9" s="74" t="n">
        <v>100279</v>
      </c>
      <c r="B9" t="inlineStr">
        <is>
          <t>ROSSI, LUCIANO BENJAMIN</t>
        </is>
      </c>
    </row>
    <row r="10">
      <c r="A10" s="74" t="n">
        <v>100621</v>
      </c>
      <c r="B10" t="inlineStr">
        <is>
          <t>LUCCRA S.A.</t>
        </is>
      </c>
    </row>
    <row r="11">
      <c r="A11" s="73" t="inlineStr">
        <is>
          <t>100621-2</t>
        </is>
      </c>
      <c r="B11" t="inlineStr">
        <is>
          <t>LUCCRA S.A.</t>
        </is>
      </c>
    </row>
    <row r="12">
      <c r="A12" s="74" t="n">
        <v>101191</v>
      </c>
      <c r="B12" t="inlineStr">
        <is>
          <t>VILLALBA PAULA MARIELA</t>
        </is>
      </c>
    </row>
    <row r="13">
      <c r="A13" s="74" t="n">
        <v>101384</v>
      </c>
      <c r="B13" t="inlineStr">
        <is>
          <t>HERNANDEZ CASASOLA MARIA EUGEN</t>
        </is>
      </c>
    </row>
    <row r="14">
      <c r="A14" s="74" t="n">
        <v>100147</v>
      </c>
      <c r="B14" t="inlineStr">
        <is>
          <t>LONDERO, MAURO SEBASTIAN</t>
        </is>
      </c>
    </row>
    <row r="15">
      <c r="A15" s="74" t="n">
        <v>100684</v>
      </c>
      <c r="B15" t="inlineStr">
        <is>
          <t>RETIA S.R.L</t>
        </is>
      </c>
    </row>
    <row r="16">
      <c r="A16" s="74" t="n">
        <v>100419</v>
      </c>
      <c r="B16" t="inlineStr">
        <is>
          <t>ESCALANTE PAZ, MARIA FERNANDA</t>
        </is>
      </c>
    </row>
    <row r="17">
      <c r="A17" s="73" t="inlineStr">
        <is>
          <t>100247-1</t>
        </is>
      </c>
      <c r="B17" t="inlineStr">
        <is>
          <t>CHAILE HERNAN NICOLAS</t>
        </is>
      </c>
    </row>
    <row r="18">
      <c r="A18" s="74" t="n">
        <v>100964</v>
      </c>
      <c r="B18" t="inlineStr">
        <is>
          <t>ODETTI, LUCIANA LAURA</t>
        </is>
      </c>
    </row>
    <row r="19">
      <c r="A19" s="74" t="n">
        <v>100413</v>
      </c>
      <c r="B19" t="inlineStr">
        <is>
          <t>PALAT, KARINA MARIEL</t>
        </is>
      </c>
    </row>
    <row r="20">
      <c r="A20" s="74" t="n">
        <v>101092</v>
      </c>
      <c r="B20" t="inlineStr">
        <is>
          <t>WAIGEL, JEREMIAS NAHUEL</t>
        </is>
      </c>
    </row>
    <row r="21">
      <c r="A21" s="73" t="inlineStr">
        <is>
          <t>100732-1</t>
        </is>
      </c>
      <c r="B21" t="inlineStr">
        <is>
          <t>MANOLETE Y MANOLETA S.R.L.</t>
        </is>
      </c>
    </row>
    <row r="22">
      <c r="A22" s="74" t="n">
        <v>100731</v>
      </c>
      <c r="B22" t="inlineStr">
        <is>
          <t>LA TOTO S.R.L.</t>
        </is>
      </c>
    </row>
    <row r="23">
      <c r="A23" s="74" t="n">
        <v>101111</v>
      </c>
      <c r="B23" t="inlineStr">
        <is>
          <t>LOPEZ LORENA RAQUEL</t>
        </is>
      </c>
    </row>
    <row r="24">
      <c r="A24" s="74" t="n">
        <v>100003</v>
      </c>
      <c r="B24" t="inlineStr">
        <is>
          <t>RODRIGUEZ, JUAN DOMINGO</t>
        </is>
      </c>
    </row>
    <row r="25">
      <c r="A25" s="73" t="inlineStr">
        <is>
          <t>101051-2</t>
        </is>
      </c>
      <c r="B25" t="inlineStr">
        <is>
          <t>CORDOBA HELADERIAS S.A.S.</t>
        </is>
      </c>
    </row>
    <row r="26">
      <c r="A26" s="73" t="inlineStr">
        <is>
          <t>100697-4</t>
        </is>
      </c>
      <c r="B26" t="inlineStr">
        <is>
          <t>OCTI S.R.L.</t>
        </is>
      </c>
    </row>
    <row r="27">
      <c r="A27" s="73" t="inlineStr">
        <is>
          <t>100896-1</t>
        </is>
      </c>
      <c r="B27" t="inlineStr">
        <is>
          <t>HELADOS SAN VICENTE S.R.L.</t>
        </is>
      </c>
    </row>
    <row r="28">
      <c r="A28" s="73" t="inlineStr">
        <is>
          <t>100656-3</t>
        </is>
      </c>
      <c r="B28" t="inlineStr">
        <is>
          <t>GENKO S.A.</t>
        </is>
      </c>
    </row>
    <row r="29">
      <c r="A29" s="74" t="n">
        <v>100510</v>
      </c>
      <c r="B29" t="inlineStr">
        <is>
          <t>GARCIA, VERONICA EVANGELINA</t>
        </is>
      </c>
    </row>
    <row r="30">
      <c r="A30" s="74" t="n">
        <v>100213</v>
      </c>
      <c r="B30" t="inlineStr">
        <is>
          <t>ZACHARSKI, JORGE MATIAS</t>
        </is>
      </c>
    </row>
    <row r="31">
      <c r="A31" s="74" t="n">
        <v>100288</v>
      </c>
      <c r="B31" t="inlineStr">
        <is>
          <t>HEREDIA D´AGOSTINO, MATIAS</t>
        </is>
      </c>
    </row>
    <row r="32">
      <c r="A32" s="74" t="n">
        <v>100732</v>
      </c>
      <c r="B32" t="inlineStr">
        <is>
          <t>MANOLETE Y MANOLETA S.R.L.</t>
        </is>
      </c>
    </row>
    <row r="33">
      <c r="A33" s="73" t="inlineStr">
        <is>
          <t>100696-4</t>
        </is>
      </c>
      <c r="B33" t="inlineStr">
        <is>
          <t>PROGRESO J&amp;T S.A.</t>
        </is>
      </c>
    </row>
    <row r="34">
      <c r="A34" s="74" t="n">
        <v>100634</v>
      </c>
      <c r="B34" t="inlineStr">
        <is>
          <t>USHPA S.R.L.</t>
        </is>
      </c>
    </row>
    <row r="35">
      <c r="A35" s="73" t="inlineStr">
        <is>
          <t>100701-1</t>
        </is>
      </c>
      <c r="B35" t="inlineStr">
        <is>
          <t>GRUPO ABG S.R.L.</t>
        </is>
      </c>
    </row>
    <row r="36">
      <c r="A36" s="74" t="n">
        <v>101292</v>
      </c>
      <c r="B36" t="inlineStr">
        <is>
          <t>GOTAMA S.A.S.</t>
        </is>
      </c>
    </row>
    <row r="37">
      <c r="A37" s="74" t="n">
        <v>100472</v>
      </c>
      <c r="B37" t="inlineStr">
        <is>
          <t>RODRIGUEZ VAGLIERA, LORENA VAN</t>
        </is>
      </c>
    </row>
    <row r="38">
      <c r="A38" s="74" t="n">
        <v>100031</v>
      </c>
      <c r="B38" t="inlineStr">
        <is>
          <t>PEREYRA, LUIS ANGEL</t>
        </is>
      </c>
    </row>
    <row r="39">
      <c r="A39" s="74" t="n">
        <v>101204</v>
      </c>
      <c r="B39" t="inlineStr">
        <is>
          <t>MERCADO ADRIAN ENRIQUE</t>
        </is>
      </c>
    </row>
    <row r="40">
      <c r="A40" s="74" t="n">
        <v>100102</v>
      </c>
      <c r="B40" t="inlineStr">
        <is>
          <t>ZAMPETTI, MARCELO RAFAEL</t>
        </is>
      </c>
    </row>
    <row r="41">
      <c r="A41" s="74" t="n">
        <v>101034</v>
      </c>
      <c r="B41" t="inlineStr">
        <is>
          <t>SENA, MILENA DEL VALLE</t>
        </is>
      </c>
    </row>
    <row r="42">
      <c r="A42" s="74" t="n">
        <v>100271</v>
      </c>
      <c r="B42" t="inlineStr">
        <is>
          <t>CABRERA, GUSTAVO RAFAEL</t>
        </is>
      </c>
    </row>
    <row r="43">
      <c r="A43" s="74" t="n">
        <v>101097</v>
      </c>
      <c r="B43" t="inlineStr">
        <is>
          <t>GOMEZ, ROMINA DEL VALLE</t>
        </is>
      </c>
    </row>
    <row r="44">
      <c r="A44" s="74" t="n">
        <v>101414</v>
      </c>
      <c r="B44" t="inlineStr">
        <is>
          <t>CASTRO FABRIZIO OMAR</t>
        </is>
      </c>
    </row>
    <row r="45">
      <c r="A45" s="74" t="n">
        <v>100201</v>
      </c>
      <c r="B45" t="inlineStr">
        <is>
          <t>OLIVER, CARLOS MATIAS</t>
        </is>
      </c>
    </row>
    <row r="46">
      <c r="A46" s="73" t="inlineStr">
        <is>
          <t>100535-1</t>
        </is>
      </c>
      <c r="B46" t="inlineStr">
        <is>
          <t>PEDERNERA MARIA LAURA</t>
        </is>
      </c>
    </row>
    <row r="47">
      <c r="A47" s="73" t="inlineStr">
        <is>
          <t>100598-2</t>
        </is>
      </c>
      <c r="B47" t="inlineStr">
        <is>
          <t>MODOS SA</t>
        </is>
      </c>
    </row>
    <row r="48">
      <c r="A48" s="74" t="n">
        <v>101008</v>
      </c>
      <c r="B48" t="inlineStr">
        <is>
          <t>ALIMIA S.A.S.</t>
        </is>
      </c>
    </row>
    <row r="49">
      <c r="A49" s="74" t="n">
        <v>101375</v>
      </c>
      <c r="B49" t="inlineStr">
        <is>
          <t>ICE WORLD S.A.S.</t>
        </is>
      </c>
    </row>
    <row r="50">
      <c r="A50" s="74" t="n">
        <v>101132</v>
      </c>
      <c r="B50" t="inlineStr">
        <is>
          <t>ICECOR S.A.S</t>
        </is>
      </c>
    </row>
    <row r="51">
      <c r="A51" s="74" t="n">
        <v>101263</v>
      </c>
      <c r="B51" t="inlineStr">
        <is>
          <t>MORENO NICOLAS ARIEL</t>
        </is>
      </c>
    </row>
    <row r="52">
      <c r="A52" s="74" t="n">
        <v>100777</v>
      </c>
      <c r="B52" t="inlineStr">
        <is>
          <t>SOLBER S.R.L.</t>
        </is>
      </c>
    </row>
    <row r="53">
      <c r="A53" s="74" t="n">
        <v>101302</v>
      </c>
      <c r="B53" t="inlineStr">
        <is>
          <t>MABAIG S.A.S.</t>
        </is>
      </c>
    </row>
    <row r="54">
      <c r="A54" s="73" t="inlineStr">
        <is>
          <t>101340-1</t>
        </is>
      </c>
      <c r="B54" t="inlineStr">
        <is>
          <t>BLEMA S.A.S.</t>
        </is>
      </c>
    </row>
    <row r="55">
      <c r="A55" s="74" t="n">
        <v>101272</v>
      </c>
      <c r="B55" t="inlineStr">
        <is>
          <t>SUPERFRIO S.A.S.</t>
        </is>
      </c>
    </row>
    <row r="56">
      <c r="A56" s="74" t="n">
        <v>100029</v>
      </c>
      <c r="B56" t="inlineStr">
        <is>
          <t>BERNAY, HORACIO DANIEL</t>
        </is>
      </c>
    </row>
    <row r="57">
      <c r="A57" s="73" t="inlineStr">
        <is>
          <t>101103-1</t>
        </is>
      </c>
      <c r="B57" t="inlineStr">
        <is>
          <t>UNITED GROUP S.A.</t>
        </is>
      </c>
    </row>
    <row r="58">
      <c r="A58" s="74" t="n">
        <v>100247</v>
      </c>
      <c r="B58" t="inlineStr">
        <is>
          <t>CHAILE HERNAN NICOLAS</t>
        </is>
      </c>
    </row>
    <row r="59">
      <c r="A59" s="74" t="n">
        <v>100351</v>
      </c>
      <c r="B59" t="inlineStr">
        <is>
          <t>FRAGUEIRO, GUILLERMO JORGE</t>
        </is>
      </c>
    </row>
    <row r="60">
      <c r="A60" s="74" t="n">
        <v>101315</v>
      </c>
      <c r="B60" t="inlineStr">
        <is>
          <t>PARAJE AGUSTIN FEDERICO</t>
        </is>
      </c>
    </row>
    <row r="61">
      <c r="A61" s="74" t="n">
        <v>100428</v>
      </c>
      <c r="B61" t="inlineStr">
        <is>
          <t>CESANO, VERONICA SILVIA</t>
        </is>
      </c>
    </row>
    <row r="62">
      <c r="A62" s="74" t="n">
        <v>101210</v>
      </c>
      <c r="B62" t="inlineStr">
        <is>
          <t>PROYECTOS DORADOS S.A.S.</t>
        </is>
      </c>
    </row>
    <row r="63">
      <c r="A63" s="74" t="n">
        <v>100393</v>
      </c>
      <c r="B63" t="inlineStr">
        <is>
          <t>MEDINA, MIRIAM DEL VALLE</t>
        </is>
      </c>
    </row>
    <row r="64">
      <c r="A64" s="73" t="inlineStr">
        <is>
          <t>100398-1</t>
        </is>
      </c>
      <c r="B64" t="inlineStr">
        <is>
          <t>BORIS LILIANA MARGARITA DEL VA</t>
        </is>
      </c>
    </row>
    <row r="65">
      <c r="A65" s="74" t="n">
        <v>100069</v>
      </c>
      <c r="B65" t="inlineStr">
        <is>
          <t>DE SIMONE PABLO</t>
        </is>
      </c>
    </row>
    <row r="66">
      <c r="A66" s="74" t="n">
        <v>100547</v>
      </c>
      <c r="B66" t="inlineStr">
        <is>
          <t>CHENA, ANA CAROLINA</t>
        </is>
      </c>
    </row>
    <row r="67">
      <c r="A67" s="74" t="n">
        <v>101037</v>
      </c>
      <c r="B67" t="inlineStr">
        <is>
          <t>SANCHEZ, CAROLINA</t>
        </is>
      </c>
    </row>
    <row r="68">
      <c r="A68" s="73" t="inlineStr">
        <is>
          <t>100777-2</t>
        </is>
      </c>
      <c r="B68" t="inlineStr">
        <is>
          <t>SOLBER S.R.L.</t>
        </is>
      </c>
    </row>
    <row r="69">
      <c r="A69" s="74" t="n">
        <v>101101</v>
      </c>
      <c r="B69" t="inlineStr">
        <is>
          <t>ACUÑA SEGURA MARINA CELESTE</t>
        </is>
      </c>
    </row>
    <row r="70">
      <c r="A70" s="74" t="n">
        <v>100001</v>
      </c>
      <c r="B70" t="inlineStr">
        <is>
          <t>WERLEN, HECTOR JUAN</t>
        </is>
      </c>
    </row>
    <row r="71">
      <c r="A71" s="74" t="n">
        <v>100420</v>
      </c>
      <c r="B71" t="inlineStr">
        <is>
          <t>FLORES, ELSA SANDRA</t>
        </is>
      </c>
    </row>
    <row r="72">
      <c r="A72" s="74" t="n">
        <v>100730</v>
      </c>
      <c r="B72" t="inlineStr">
        <is>
          <t>HIPOLITITO S.R.L.</t>
        </is>
      </c>
    </row>
    <row r="73">
      <c r="A73" s="74" t="n">
        <v>100653</v>
      </c>
      <c r="B73" t="inlineStr">
        <is>
          <t>NUSS GRACIELA BEATRIZ Y PAZ MI</t>
        </is>
      </c>
    </row>
    <row r="74">
      <c r="A74" s="74" t="n">
        <v>101340</v>
      </c>
      <c r="B74" t="inlineStr">
        <is>
          <t>BLEMA S.A.S.</t>
        </is>
      </c>
    </row>
    <row r="75">
      <c r="A75" s="74" t="n">
        <v>100251</v>
      </c>
      <c r="B75" t="inlineStr">
        <is>
          <t>BARRIONUEVO, LUCAS DAMIAN</t>
        </is>
      </c>
    </row>
    <row r="76">
      <c r="A76" s="74" t="n">
        <v>100291</v>
      </c>
      <c r="B76" t="inlineStr">
        <is>
          <t>NACHTIGAL, CARLOS GUSTAVO M</t>
        </is>
      </c>
    </row>
    <row r="77">
      <c r="A77" s="73" t="inlineStr">
        <is>
          <t>100069-1</t>
        </is>
      </c>
      <c r="B77" t="inlineStr">
        <is>
          <t>DE SIMONE PABLO</t>
        </is>
      </c>
    </row>
    <row r="78">
      <c r="A78" s="74" t="n">
        <v>101205</v>
      </c>
      <c r="B78" t="inlineStr">
        <is>
          <t>MIL SABORES S.A.S</t>
        </is>
      </c>
    </row>
    <row r="79">
      <c r="A79" s="74" t="n">
        <v>101338</v>
      </c>
      <c r="B79" t="inlineStr">
        <is>
          <t>BOJANICH EMILIANO ESTEBAN</t>
        </is>
      </c>
    </row>
    <row r="80">
      <c r="A80" s="74" t="n">
        <v>101060</v>
      </c>
      <c r="B80" t="inlineStr">
        <is>
          <t>ALTAMIRANO BONGIORNO, CARLOS S</t>
        </is>
      </c>
    </row>
    <row r="81">
      <c r="A81" s="74" t="n">
        <v>100391</v>
      </c>
      <c r="B81" t="inlineStr">
        <is>
          <t>SALINA, PATRICIA ALEJANDRA</t>
        </is>
      </c>
    </row>
    <row r="82">
      <c r="A82" s="73" t="inlineStr">
        <is>
          <t>100420-1</t>
        </is>
      </c>
      <c r="B82" t="inlineStr">
        <is>
          <t>FLORES, ELSA SANDRA</t>
        </is>
      </c>
    </row>
    <row r="83">
      <c r="A83" s="74" t="n">
        <v>101208</v>
      </c>
      <c r="B83" t="inlineStr">
        <is>
          <t>ALBERTINI ALICIA LEONOR</t>
        </is>
      </c>
    </row>
    <row r="84">
      <c r="A84" s="74" t="n">
        <v>101236</v>
      </c>
      <c r="B84" t="inlineStr">
        <is>
          <t>PERALTA FAVIO DARIO</t>
        </is>
      </c>
    </row>
    <row r="85">
      <c r="A85" s="73" t="inlineStr">
        <is>
          <t>100604-3</t>
        </is>
      </c>
      <c r="B85" t="inlineStr">
        <is>
          <t>PRETER SA</t>
        </is>
      </c>
    </row>
    <row r="86">
      <c r="A86" s="74" t="n">
        <v>100604</v>
      </c>
      <c r="B86" t="inlineStr">
        <is>
          <t>PRETER SA</t>
        </is>
      </c>
    </row>
    <row r="87">
      <c r="A87" s="74" t="n">
        <v>101206</v>
      </c>
      <c r="B87" t="inlineStr">
        <is>
          <t>PEÑA PEREA NADIA YAEL</t>
        </is>
      </c>
    </row>
    <row r="88">
      <c r="A88" s="74" t="n">
        <v>100725</v>
      </c>
      <c r="B88" t="inlineStr">
        <is>
          <t>ROECHE S.R.L.</t>
        </is>
      </c>
    </row>
    <row r="89">
      <c r="A89" s="74" t="n">
        <v>101127</v>
      </c>
      <c r="B89" t="inlineStr">
        <is>
          <t>CANO ANALIA DE LOS ANGELES</t>
        </is>
      </c>
    </row>
    <row r="90">
      <c r="A90" s="73" t="inlineStr">
        <is>
          <t>100201-1</t>
        </is>
      </c>
      <c r="B90" t="inlineStr">
        <is>
          <t>OLIVER, CARLOS MATIAS</t>
        </is>
      </c>
    </row>
    <row r="91">
      <c r="A91" s="74" t="n">
        <v>101271</v>
      </c>
      <c r="B91" t="inlineStr">
        <is>
          <t>RED DE CONGELADOS S.A.S.</t>
        </is>
      </c>
    </row>
    <row r="92">
      <c r="A92" s="73" t="inlineStr">
        <is>
          <t>100604-2</t>
        </is>
      </c>
      <c r="B92" t="inlineStr">
        <is>
          <t>PRETER SA</t>
        </is>
      </c>
    </row>
    <row r="93">
      <c r="A93" s="73" t="inlineStr">
        <is>
          <t>101185-2</t>
        </is>
      </c>
      <c r="B93" t="inlineStr">
        <is>
          <t>MATOCA S.A.S.</t>
        </is>
      </c>
    </row>
    <row r="94">
      <c r="A94" s="73" t="inlineStr">
        <is>
          <t>100391-1</t>
        </is>
      </c>
      <c r="B94" t="inlineStr">
        <is>
          <t>SALINA, PATRICIA ALEJANDRA</t>
        </is>
      </c>
    </row>
    <row r="95">
      <c r="A95" s="74" t="n">
        <v>101424</v>
      </c>
      <c r="B95" t="inlineStr">
        <is>
          <t>CORNEJO NATALIA SOLEDAD</t>
        </is>
      </c>
    </row>
    <row r="96">
      <c r="A96" s="74" t="n">
        <v>100568</v>
      </c>
      <c r="B96" t="inlineStr">
        <is>
          <t>PINO, FLAVIA ANAHI</t>
        </is>
      </c>
    </row>
    <row r="97">
      <c r="A97" s="74" t="n">
        <v>100714</v>
      </c>
      <c r="B97" t="inlineStr">
        <is>
          <t>SIVA S.A.</t>
        </is>
      </c>
    </row>
    <row r="98">
      <c r="A98" s="73" t="inlineStr">
        <is>
          <t>100592-2</t>
        </is>
      </c>
      <c r="B98" t="inlineStr">
        <is>
          <t>ADN S.R.L.</t>
        </is>
      </c>
    </row>
    <row r="99">
      <c r="A99" s="73" t="inlineStr">
        <is>
          <t>101051-4</t>
        </is>
      </c>
      <c r="B99" t="inlineStr">
        <is>
          <t>CORDOBA HELADERIAS S.A.S.</t>
        </is>
      </c>
    </row>
    <row r="100">
      <c r="A100" s="73" t="inlineStr">
        <is>
          <t>100081-3</t>
        </is>
      </c>
      <c r="B100" t="inlineStr">
        <is>
          <t>JAWAHAR, ANGEL MARCIAL</t>
        </is>
      </c>
    </row>
    <row r="101">
      <c r="A101" s="74" t="n">
        <v>100406</v>
      </c>
      <c r="B101" t="inlineStr">
        <is>
          <t>ACHAVAL, MARIA ELISA</t>
        </is>
      </c>
    </row>
    <row r="102">
      <c r="A102" s="74" t="n">
        <v>100299</v>
      </c>
      <c r="B102" t="inlineStr">
        <is>
          <t>MARIN, GLADYS DEL CARMEN</t>
        </is>
      </c>
    </row>
    <row r="103">
      <c r="A103" s="74" t="n">
        <v>100667</v>
      </c>
      <c r="B103" t="inlineStr">
        <is>
          <t>LU. KAP. S.R.L.</t>
        </is>
      </c>
    </row>
    <row r="104">
      <c r="A104" s="73" t="inlineStr">
        <is>
          <t>100058-2</t>
        </is>
      </c>
      <c r="B104" t="inlineStr">
        <is>
          <t>PALACIOS, CARLOS GUILLERMO</t>
        </is>
      </c>
    </row>
    <row r="105">
      <c r="A105" s="73" t="inlineStr">
        <is>
          <t>100697-2</t>
        </is>
      </c>
      <c r="B105" t="inlineStr">
        <is>
          <t>OCTI S.R.L.</t>
        </is>
      </c>
    </row>
    <row r="106">
      <c r="A106" s="74" t="n">
        <v>100723</v>
      </c>
      <c r="B106" t="inlineStr">
        <is>
          <t>SUDESTE SB S.R.L.</t>
        </is>
      </c>
    </row>
    <row r="107">
      <c r="A107" s="74" t="n">
        <v>100383</v>
      </c>
      <c r="B107" t="inlineStr">
        <is>
          <t>VILLEGAS, SUSANA ELIZABETH</t>
        </is>
      </c>
    </row>
    <row r="108">
      <c r="A108" s="74" t="n">
        <v>100037</v>
      </c>
      <c r="B108" t="inlineStr">
        <is>
          <t>GONZALEZ, LEONARDO ARTURO</t>
        </is>
      </c>
    </row>
    <row r="109">
      <c r="A109" s="74" t="n">
        <v>100592</v>
      </c>
      <c r="B109" t="inlineStr">
        <is>
          <t>ADN S.R.L.</t>
        </is>
      </c>
    </row>
    <row r="110">
      <c r="A110" s="74" t="n">
        <v>100359</v>
      </c>
      <c r="B110" t="inlineStr">
        <is>
          <t>FLUCK, NICOLAS</t>
        </is>
      </c>
    </row>
    <row r="111">
      <c r="A111" s="74" t="n">
        <v>100112</v>
      </c>
      <c r="B111" t="inlineStr">
        <is>
          <t>PUGLIANO, MARCELO FABIAN</t>
        </is>
      </c>
    </row>
    <row r="112">
      <c r="A112" s="74" t="n">
        <v>100174</v>
      </c>
      <c r="B112" t="inlineStr">
        <is>
          <t>BOCO, RICARDO EXEQUIEL</t>
        </is>
      </c>
    </row>
    <row r="113">
      <c r="A113" s="74" t="n">
        <v>100757</v>
      </c>
      <c r="B113" t="inlineStr">
        <is>
          <t>AXF S.R.L.</t>
        </is>
      </c>
    </row>
    <row r="114">
      <c r="A114" s="74" t="n">
        <v>100591</v>
      </c>
      <c r="B114" t="inlineStr">
        <is>
          <t>AFIN S.R.L.</t>
        </is>
      </c>
    </row>
    <row r="115">
      <c r="A115" s="74" t="n">
        <v>100748</v>
      </c>
      <c r="B115" t="inlineStr">
        <is>
          <t>GRIBEL S.R.L.</t>
        </is>
      </c>
    </row>
    <row r="116">
      <c r="A116" s="73" t="inlineStr">
        <is>
          <t>100766-1</t>
        </is>
      </c>
      <c r="B116" t="inlineStr">
        <is>
          <t>HELAVM S.R.L.</t>
        </is>
      </c>
    </row>
    <row r="117">
      <c r="A117" s="74" t="n">
        <v>100154</v>
      </c>
      <c r="B117" t="inlineStr">
        <is>
          <t>MIRANDA FUNES, JOSE LUIS</t>
        </is>
      </c>
    </row>
    <row r="118">
      <c r="A118" s="73" t="inlineStr">
        <is>
          <t>100242-1</t>
        </is>
      </c>
      <c r="B118" t="inlineStr">
        <is>
          <t>ALVAREZ, JUAN MANUEL</t>
        </is>
      </c>
    </row>
    <row r="119">
      <c r="A119" s="74" t="n">
        <v>101095</v>
      </c>
      <c r="B119" t="inlineStr">
        <is>
          <t>GAYOSO HUAMAN. VERONICA VANESS</t>
        </is>
      </c>
    </row>
    <row r="120">
      <c r="A120" s="74" t="n">
        <v>100464</v>
      </c>
      <c r="B120" t="inlineStr">
        <is>
          <t>BAIGORRIA, GRACIELA NOEMI</t>
        </is>
      </c>
    </row>
    <row r="121">
      <c r="A121" s="74" t="n">
        <v>101005</v>
      </c>
      <c r="B121" t="inlineStr">
        <is>
          <t>BUFFAGNI, EMILIANO SIMON</t>
        </is>
      </c>
    </row>
    <row r="122">
      <c r="A122" s="74" t="n">
        <v>100627</v>
      </c>
      <c r="B122" t="inlineStr">
        <is>
          <t>P y S S.R.L.</t>
        </is>
      </c>
    </row>
    <row r="123">
      <c r="A123" s="74" t="n">
        <v>101445</v>
      </c>
      <c r="B123" t="inlineStr">
        <is>
          <t>MACHUCA LORENA DEL VALLE</t>
        </is>
      </c>
    </row>
    <row r="124">
      <c r="A124" s="74" t="n">
        <v>101365</v>
      </c>
      <c r="B124" t="inlineStr">
        <is>
          <t>DOMINGUEZ ANDREA MARIANA</t>
        </is>
      </c>
    </row>
    <row r="125">
      <c r="A125" s="73" t="inlineStr">
        <is>
          <t>100650-6</t>
        </is>
      </c>
      <c r="B125" t="inlineStr">
        <is>
          <t>NOACOLD S.R.L.</t>
        </is>
      </c>
    </row>
    <row r="126">
      <c r="A126" s="74" t="n">
        <v>100663</v>
      </c>
      <c r="B126" t="inlineStr">
        <is>
          <t>OPERATIO S.A.</t>
        </is>
      </c>
    </row>
    <row r="127">
      <c r="A127" s="74" t="n">
        <v>100090</v>
      </c>
      <c r="B127" t="inlineStr">
        <is>
          <t>ANGELINI, VICTOR ESTEBAN</t>
        </is>
      </c>
    </row>
    <row r="128">
      <c r="A128" s="74" t="n">
        <v>101408</v>
      </c>
      <c r="B128" t="inlineStr">
        <is>
          <t>GASTRONOMÍA MODERNA S.R.L.</t>
        </is>
      </c>
    </row>
    <row r="129">
      <c r="A129" s="73" t="inlineStr">
        <is>
          <t>100510-1</t>
        </is>
      </c>
      <c r="B129" t="inlineStr">
        <is>
          <t>GARCIA, VERONICA EVANGELINA</t>
        </is>
      </c>
    </row>
    <row r="130">
      <c r="A130" s="74" t="n">
        <v>100680</v>
      </c>
      <c r="B130" t="inlineStr">
        <is>
          <t>CORCAS SRL</t>
        </is>
      </c>
    </row>
    <row r="131">
      <c r="A131" s="73" t="inlineStr">
        <is>
          <t>100696-1</t>
        </is>
      </c>
      <c r="B131" t="inlineStr">
        <is>
          <t>PROGRESO J&amp;T S.A.</t>
        </is>
      </c>
    </row>
    <row r="132">
      <c r="A132" s="74" t="n">
        <v>100569</v>
      </c>
      <c r="B132" t="inlineStr">
        <is>
          <t>DEMICHELI, PAULA SABRINA LISET</t>
        </is>
      </c>
    </row>
    <row r="133">
      <c r="A133" s="73" t="inlineStr">
        <is>
          <t>100090-1</t>
        </is>
      </c>
      <c r="B133" t="inlineStr">
        <is>
          <t>ANGELINI, VICTOR ESTEBAN</t>
        </is>
      </c>
    </row>
    <row r="134">
      <c r="A134" s="74" t="n">
        <v>101287</v>
      </c>
      <c r="B134" t="inlineStr">
        <is>
          <t>CAPESAN S.A.</t>
        </is>
      </c>
    </row>
    <row r="135">
      <c r="A135" s="74" t="n">
        <v>100272</v>
      </c>
      <c r="B135" t="inlineStr">
        <is>
          <t>GORI, GUSTAVO DANIEL</t>
        </is>
      </c>
    </row>
    <row r="136">
      <c r="A136" s="74" t="n">
        <v>100107</v>
      </c>
      <c r="B136" t="inlineStr">
        <is>
          <t>SANCHEZ, JULIO HERNAN</t>
        </is>
      </c>
    </row>
    <row r="137">
      <c r="A137" s="74" t="n">
        <v>100535</v>
      </c>
      <c r="B137" t="inlineStr">
        <is>
          <t>PEDERNERA MARIA LAURA</t>
        </is>
      </c>
    </row>
    <row r="138">
      <c r="A138" s="74" t="n">
        <v>100396</v>
      </c>
      <c r="B138" t="inlineStr">
        <is>
          <t>DOMINGUEZ, PATRICIA LILIANA</t>
        </is>
      </c>
    </row>
    <row r="139">
      <c r="A139" s="74" t="n">
        <v>101425</v>
      </c>
      <c r="B139" t="inlineStr">
        <is>
          <t>VIDELA MAURICIO GASTON</t>
        </is>
      </c>
    </row>
    <row r="140">
      <c r="A140" s="74" t="n">
        <v>100471</v>
      </c>
      <c r="B140" t="inlineStr">
        <is>
          <t>SILVA, MARA CARINA</t>
        </is>
      </c>
    </row>
    <row r="141">
      <c r="A141" s="74" t="n">
        <v>101051</v>
      </c>
      <c r="B141" t="inlineStr">
        <is>
          <t>CORDOBA HELADERIAS S.A.S.</t>
        </is>
      </c>
    </row>
    <row r="142">
      <c r="A142" s="74" t="n">
        <v>101325</v>
      </c>
      <c r="B142" t="inlineStr">
        <is>
          <t>BONGOUT S.A.S.</t>
        </is>
      </c>
    </row>
    <row r="143">
      <c r="A143" s="74" t="n">
        <v>100615</v>
      </c>
      <c r="B143" t="inlineStr">
        <is>
          <t>H.R. S.R.L.</t>
        </is>
      </c>
    </row>
    <row r="144">
      <c r="A144" s="74" t="n">
        <v>100765</v>
      </c>
      <c r="B144" t="inlineStr">
        <is>
          <t>H.R. TRES SOLES S.R.L.</t>
        </is>
      </c>
    </row>
    <row r="145">
      <c r="A145" s="74" t="n">
        <v>100743</v>
      </c>
      <c r="B145" t="inlineStr">
        <is>
          <t>FEMORAL S.R.L.</t>
        </is>
      </c>
    </row>
    <row r="146">
      <c r="A146" s="74" t="n">
        <v>100945</v>
      </c>
      <c r="B146" t="inlineStr">
        <is>
          <t>EMPRENDER MEDITERRANEA S.R.L.</t>
        </is>
      </c>
    </row>
    <row r="147">
      <c r="A147" s="74" t="n">
        <v>100538</v>
      </c>
      <c r="B147" t="inlineStr">
        <is>
          <t>IMPARADO, ELIANA BEATRIZ</t>
        </is>
      </c>
    </row>
    <row r="148">
      <c r="A148" s="74" t="n">
        <v>100613</v>
      </c>
      <c r="B148" t="inlineStr">
        <is>
          <t>ZENFA S.R.L.</t>
        </is>
      </c>
    </row>
    <row r="149">
      <c r="A149" s="74" t="n">
        <v>101112</v>
      </c>
      <c r="B149" t="inlineStr">
        <is>
          <t>GABESUR S.A.S.</t>
        </is>
      </c>
    </row>
    <row r="150">
      <c r="A150" s="73" t="inlineStr">
        <is>
          <t>100626-1</t>
        </is>
      </c>
      <c r="B150" t="inlineStr">
        <is>
          <t>LOBIAN S.R.L.</t>
        </is>
      </c>
    </row>
    <row r="151">
      <c r="A151" s="73" t="inlineStr">
        <is>
          <t>101214-1</t>
        </is>
      </c>
      <c r="B151" t="inlineStr">
        <is>
          <t>SCALI PATRICIO OSCAR</t>
        </is>
      </c>
    </row>
    <row r="152">
      <c r="A152" s="74" t="n">
        <v>100065</v>
      </c>
      <c r="B152" t="inlineStr">
        <is>
          <t>JUAN MIGUEL EBERTH</t>
        </is>
      </c>
    </row>
    <row r="153">
      <c r="A153" s="74" t="n">
        <v>100227</v>
      </c>
      <c r="B153" t="inlineStr">
        <is>
          <t>SARUBI, MILTON SEBASTIAN</t>
        </is>
      </c>
    </row>
    <row r="154">
      <c r="A154" s="74" t="n">
        <v>100109</v>
      </c>
      <c r="B154" t="inlineStr">
        <is>
          <t>SUAREZ, MARIANO CARLOS</t>
        </is>
      </c>
    </row>
    <row r="155">
      <c r="A155" s="73" t="inlineStr">
        <is>
          <t>100602-4</t>
        </is>
      </c>
      <c r="B155" t="inlineStr">
        <is>
          <t>ULTRACONGELADOS DEL NOA S.R.L.</t>
        </is>
      </c>
    </row>
    <row r="156">
      <c r="A156" s="74" t="n">
        <v>100896</v>
      </c>
      <c r="B156" t="inlineStr">
        <is>
          <t>HELADOS SAN VICENTE S.R.L.</t>
        </is>
      </c>
    </row>
    <row r="157">
      <c r="A157" s="73" t="inlineStr">
        <is>
          <t>100440-1</t>
        </is>
      </c>
      <c r="B157" t="inlineStr">
        <is>
          <t>DIAZ, LUDUEÑA GABRIELA ALEJAND</t>
        </is>
      </c>
    </row>
    <row r="158">
      <c r="A158" s="74" t="n">
        <v>101430</v>
      </c>
      <c r="B158" t="inlineStr">
        <is>
          <t>QUEVEDO TAMARA ISABEL</t>
        </is>
      </c>
    </row>
    <row r="159">
      <c r="A159" s="74" t="n">
        <v>100382</v>
      </c>
      <c r="B159" t="inlineStr">
        <is>
          <t>PEREYRA, ESTELA GLADYS</t>
        </is>
      </c>
    </row>
    <row r="160">
      <c r="A160" s="74" t="n">
        <v>101163</v>
      </c>
      <c r="B160" t="inlineStr">
        <is>
          <t>NOTO S.R.L.</t>
        </is>
      </c>
    </row>
    <row r="161">
      <c r="A161" s="74" t="n">
        <v>100199</v>
      </c>
      <c r="B161" t="inlineStr">
        <is>
          <t>OROS SEBASTIAN ANTONIO</t>
        </is>
      </c>
    </row>
    <row r="162">
      <c r="A162" s="73" t="inlineStr">
        <is>
          <t>100735-2</t>
        </is>
      </c>
      <c r="B162" t="inlineStr">
        <is>
          <t>CONGELADOS Y CONSERVAS S.R.L.</t>
        </is>
      </c>
    </row>
    <row r="163">
      <c r="A163" s="74" t="n">
        <v>100595</v>
      </c>
      <c r="B163" t="inlineStr">
        <is>
          <t>ABUELA ESPERANZA S.R.L.</t>
        </is>
      </c>
    </row>
    <row r="164">
      <c r="A164" s="74" t="n">
        <v>100533</v>
      </c>
      <c r="B164" t="inlineStr">
        <is>
          <t>PELLIZON, MARCELA MARIA</t>
        </is>
      </c>
    </row>
    <row r="165">
      <c r="A165" s="74" t="n">
        <v>101316</v>
      </c>
      <c r="B165" t="inlineStr">
        <is>
          <t>MARFED S.A.S.</t>
        </is>
      </c>
    </row>
    <row r="166">
      <c r="A166" s="73" t="inlineStr">
        <is>
          <t>100650-7</t>
        </is>
      </c>
      <c r="B166" t="inlineStr">
        <is>
          <t>NOACOLD S.R.L.</t>
        </is>
      </c>
    </row>
    <row r="167">
      <c r="A167" s="74" t="n">
        <v>101010</v>
      </c>
      <c r="B167" t="inlineStr">
        <is>
          <t>ACUÑA SEGURA, MAXIMILIANO CARL</t>
        </is>
      </c>
    </row>
    <row r="168">
      <c r="A168" s="73" t="inlineStr">
        <is>
          <t>100674-2</t>
        </is>
      </c>
      <c r="B168" t="inlineStr">
        <is>
          <t>POSITIVA S.R.L.</t>
        </is>
      </c>
    </row>
    <row r="169">
      <c r="A169" s="73" t="inlineStr">
        <is>
          <t>100546-1</t>
        </is>
      </c>
      <c r="B169" t="inlineStr">
        <is>
          <t>CEJAS, MARIANA GISELLE</t>
        </is>
      </c>
    </row>
    <row r="170">
      <c r="A170" s="73" t="inlineStr">
        <is>
          <t>100642-4</t>
        </is>
      </c>
      <c r="B170" t="inlineStr">
        <is>
          <t>CONSTANTINO S.R.L.</t>
        </is>
      </c>
    </row>
    <row r="171">
      <c r="A171" s="74" t="n">
        <v>100073</v>
      </c>
      <c r="B171" t="inlineStr">
        <is>
          <t>RAFANELLI, ARIEL DAVID</t>
        </is>
      </c>
    </row>
    <row r="172">
      <c r="A172" s="73" t="inlineStr">
        <is>
          <t>100664-3</t>
        </is>
      </c>
      <c r="B172" t="inlineStr">
        <is>
          <t>SANTA CRISTINA S.A.</t>
        </is>
      </c>
    </row>
    <row r="173">
      <c r="A173" s="74" t="n">
        <v>100021</v>
      </c>
      <c r="B173" t="inlineStr">
        <is>
          <t>VILCHES DANIEL JESUS</t>
        </is>
      </c>
    </row>
    <row r="174">
      <c r="A174" s="73" t="inlineStr">
        <is>
          <t>100650-8</t>
        </is>
      </c>
      <c r="B174" t="inlineStr">
        <is>
          <t>NOACOLD S.R.L.</t>
        </is>
      </c>
    </row>
    <row r="175">
      <c r="A175" s="74" t="n">
        <v>100145</v>
      </c>
      <c r="B175" t="inlineStr">
        <is>
          <t>ROJAS ROMERO, LUCAS MARTIN</t>
        </is>
      </c>
    </row>
    <row r="176">
      <c r="A176" s="73" t="inlineStr">
        <is>
          <t>100147-1</t>
        </is>
      </c>
      <c r="B176" t="inlineStr">
        <is>
          <t>LONDERO, MAURO SEBASTIAN</t>
        </is>
      </c>
    </row>
    <row r="177">
      <c r="A177" s="74" t="n">
        <v>100058</v>
      </c>
      <c r="B177" t="inlineStr">
        <is>
          <t>PALACIOS, CARLOS GUILLERMO</t>
        </is>
      </c>
    </row>
    <row r="178">
      <c r="A178" s="74" t="n">
        <v>100081</v>
      </c>
      <c r="B178" t="inlineStr">
        <is>
          <t>JAWAHAR, ANGEL MARCIAL</t>
        </is>
      </c>
    </row>
    <row r="179">
      <c r="A179" s="74" t="n">
        <v>100515</v>
      </c>
      <c r="B179" t="inlineStr">
        <is>
          <t>SILVA SARMIENTO, NOELIA ELIZAB</t>
        </is>
      </c>
    </row>
    <row r="180">
      <c r="A180" s="73" t="inlineStr">
        <is>
          <t>100602-3</t>
        </is>
      </c>
      <c r="B180" t="inlineStr">
        <is>
          <t>ULTRACONGELADOS DEL NOA S.R.L.</t>
        </is>
      </c>
    </row>
    <row r="181">
      <c r="A181" s="73" t="inlineStr">
        <is>
          <t>100003-1</t>
        </is>
      </c>
      <c r="B181" t="inlineStr">
        <is>
          <t>RODRIGUEZ, JUAN DOMINGO</t>
        </is>
      </c>
    </row>
    <row r="182">
      <c r="A182" s="74" t="n">
        <v>100601</v>
      </c>
      <c r="B182" t="inlineStr">
        <is>
          <t>D' NOS S.R.L.</t>
        </is>
      </c>
    </row>
    <row r="183">
      <c r="A183" s="73" t="inlineStr">
        <is>
          <t>101302-1</t>
        </is>
      </c>
      <c r="B183" t="inlineStr">
        <is>
          <t>MABAIG S.A.S.</t>
        </is>
      </c>
    </row>
    <row r="184">
      <c r="A184" s="74" t="n">
        <v>100075</v>
      </c>
      <c r="B184" t="inlineStr">
        <is>
          <t>JUAN, FAVIO RUBEN</t>
        </is>
      </c>
    </row>
    <row r="185">
      <c r="A185" s="74" t="n">
        <v>100618</v>
      </c>
      <c r="B185" t="inlineStr">
        <is>
          <t>MEATMAX S.R.L.</t>
        </is>
      </c>
    </row>
    <row r="186">
      <c r="A186" s="73" t="inlineStr">
        <is>
          <t>100447-1</t>
        </is>
      </c>
      <c r="B186" t="inlineStr">
        <is>
          <t>TORANZO, ANA ALEJANDRA</t>
        </is>
      </c>
    </row>
    <row r="187">
      <c r="A187" s="74" t="n">
        <v>100355</v>
      </c>
      <c r="B187" t="inlineStr">
        <is>
          <t>MORVAN, MARIA SOL</t>
        </is>
      </c>
    </row>
    <row r="188">
      <c r="A188" s="74" t="n">
        <v>100522</v>
      </c>
      <c r="B188" t="inlineStr">
        <is>
          <t>TORANZO, LUCRECIA SOLEDAD</t>
        </is>
      </c>
    </row>
    <row r="189">
      <c r="A189" s="73" t="inlineStr">
        <is>
          <t>100642-2</t>
        </is>
      </c>
      <c r="B189" t="inlineStr">
        <is>
          <t>CONSTANTINO S.R.L.</t>
        </is>
      </c>
    </row>
    <row r="190">
      <c r="A190" s="74" t="n">
        <v>100579</v>
      </c>
      <c r="B190" t="inlineStr">
        <is>
          <t>ALIAGA FUENTEALBA, JEANNETTE A</t>
        </is>
      </c>
    </row>
    <row r="191">
      <c r="A191" s="73" t="inlineStr">
        <is>
          <t>100595-3</t>
        </is>
      </c>
      <c r="B191" t="inlineStr">
        <is>
          <t>ABUELA ESPERANZA S.R.L.</t>
        </is>
      </c>
    </row>
    <row r="192">
      <c r="A192" s="73" t="inlineStr">
        <is>
          <t>100594-2</t>
        </is>
      </c>
      <c r="B192" t="inlineStr">
        <is>
          <t>J.A.V.R.I. S.R.L.</t>
        </is>
      </c>
    </row>
    <row r="193">
      <c r="A193" s="73" t="inlineStr">
        <is>
          <t>101408-1</t>
        </is>
      </c>
      <c r="B193" t="inlineStr">
        <is>
          <t>GASTRONOMÍA MODERNA S.R.L.</t>
        </is>
      </c>
    </row>
    <row r="194">
      <c r="A194" s="74" t="n">
        <v>100651</v>
      </c>
      <c r="B194" t="inlineStr">
        <is>
          <t>VASIL S.R.L.</t>
        </is>
      </c>
    </row>
    <row r="195">
      <c r="A195" s="74" t="n">
        <v>100479</v>
      </c>
      <c r="B195" t="inlineStr">
        <is>
          <t>STECHINA, MARIA VIRGINIA</t>
        </is>
      </c>
    </row>
    <row r="196">
      <c r="A196" s="74" t="n">
        <v>101110</v>
      </c>
      <c r="B196" t="inlineStr">
        <is>
          <t>ROAN S.R.L</t>
        </is>
      </c>
    </row>
    <row r="197">
      <c r="A197" s="73" t="inlineStr">
        <is>
          <t>100197-1</t>
        </is>
      </c>
      <c r="B197" t="inlineStr">
        <is>
          <t>FERNANDEZ, EDGARDO IVAN</t>
        </is>
      </c>
    </row>
    <row r="198">
      <c r="A198" s="74" t="n">
        <v>100093</v>
      </c>
      <c r="B198" t="inlineStr">
        <is>
          <t>AMAYA, DARIO TARSICIO</t>
        </is>
      </c>
    </row>
    <row r="199">
      <c r="A199" s="73" t="inlineStr">
        <is>
          <t>100069-2</t>
        </is>
      </c>
      <c r="B199" t="inlineStr">
        <is>
          <t>DE SIMONE PABLO</t>
        </is>
      </c>
    </row>
    <row r="200">
      <c r="A200" s="74" t="n">
        <v>100056</v>
      </c>
      <c r="B200" t="inlineStr">
        <is>
          <t>SESA, JOSE ALEJANDRO</t>
        </is>
      </c>
    </row>
    <row r="201">
      <c r="A201" s="74" t="n">
        <v>101079</v>
      </c>
      <c r="B201" t="inlineStr">
        <is>
          <t>FAWZAMN S.R.L.</t>
        </is>
      </c>
    </row>
    <row r="202">
      <c r="A202" s="73" t="inlineStr">
        <is>
          <t>100901-1</t>
        </is>
      </c>
      <c r="B202" t="inlineStr">
        <is>
          <t>FATARAIN S.A.</t>
        </is>
      </c>
    </row>
    <row r="203">
      <c r="A203" s="73" t="inlineStr">
        <is>
          <t>100926-1</t>
        </is>
      </c>
      <c r="B203" t="inlineStr">
        <is>
          <t>MOYANO, MARTIN SEBASTIAN</t>
        </is>
      </c>
    </row>
    <row r="204">
      <c r="A204" s="73" t="inlineStr">
        <is>
          <t>100650-9</t>
        </is>
      </c>
      <c r="B204" t="inlineStr">
        <is>
          <t>NOACOLD S.R.L.</t>
        </is>
      </c>
    </row>
    <row r="205">
      <c r="A205" s="73" t="inlineStr">
        <is>
          <t>100601-1</t>
        </is>
      </c>
      <c r="B205" t="inlineStr">
        <is>
          <t>D' NOS S.R.L.</t>
        </is>
      </c>
    </row>
    <row r="206">
      <c r="A206" s="74" t="n">
        <v>101120</v>
      </c>
      <c r="B206" t="inlineStr">
        <is>
          <t>LABATH JUAN ANTONIO</t>
        </is>
      </c>
    </row>
    <row r="207">
      <c r="A207" s="74" t="n">
        <v>101030</v>
      </c>
      <c r="B207" t="inlineStr">
        <is>
          <t>SERAFINI, DANIELA BEATRIZ</t>
        </is>
      </c>
    </row>
    <row r="208">
      <c r="A208" s="73" t="inlineStr">
        <is>
          <t>100109-1</t>
        </is>
      </c>
      <c r="B208" t="inlineStr">
        <is>
          <t>SUAREZ, MARIANO CARLOS</t>
        </is>
      </c>
    </row>
    <row r="209">
      <c r="A209" s="73" t="inlineStr">
        <is>
          <t>100766-2</t>
        </is>
      </c>
      <c r="B209" t="inlineStr">
        <is>
          <t>HELAVM S.R.L.</t>
        </is>
      </c>
    </row>
    <row r="210">
      <c r="A210" s="73" t="inlineStr">
        <is>
          <t>100592-4</t>
        </is>
      </c>
      <c r="B210" t="inlineStr">
        <is>
          <t>ADN S.R.L.</t>
        </is>
      </c>
    </row>
    <row r="211">
      <c r="A211" s="74" t="n">
        <v>100642</v>
      </c>
      <c r="B211" t="inlineStr">
        <is>
          <t>CONSTANTINO S.R.L.</t>
        </is>
      </c>
    </row>
    <row r="212">
      <c r="A212" s="73" t="inlineStr">
        <is>
          <t>100746-1</t>
        </is>
      </c>
      <c r="B212" t="inlineStr">
        <is>
          <t>RINA S.R.L.</t>
        </is>
      </c>
    </row>
    <row r="213">
      <c r="A213" s="73" t="inlineStr">
        <is>
          <t>100355-2</t>
        </is>
      </c>
      <c r="B213" t="inlineStr">
        <is>
          <t>MORVAN, MARIA SOL</t>
        </is>
      </c>
    </row>
    <row r="214">
      <c r="A214" s="73" t="inlineStr">
        <is>
          <t>100613-1</t>
        </is>
      </c>
      <c r="B214" t="inlineStr">
        <is>
          <t>ZENFA S.R.L.</t>
        </is>
      </c>
    </row>
    <row r="215">
      <c r="A215" s="73" t="inlineStr">
        <is>
          <t>100594-7</t>
        </is>
      </c>
      <c r="B215" t="inlineStr">
        <is>
          <t>J.A.V.R.I. S.R.L.</t>
        </is>
      </c>
    </row>
    <row r="216">
      <c r="A216" s="73" t="inlineStr">
        <is>
          <t>100594-11</t>
        </is>
      </c>
      <c r="B216" t="inlineStr">
        <is>
          <t>J.A.V.R.I. S.R.L.</t>
        </is>
      </c>
    </row>
    <row r="217">
      <c r="A217" s="73" t="inlineStr">
        <is>
          <t>100594-10</t>
        </is>
      </c>
      <c r="B217" t="inlineStr">
        <is>
          <t>J.A.V.R.I. S.R.L.</t>
        </is>
      </c>
    </row>
    <row r="218">
      <c r="A218" s="74" t="n">
        <v>100036</v>
      </c>
      <c r="B218" t="inlineStr">
        <is>
          <t>JUAN, O. ANTONIO RAMON</t>
        </is>
      </c>
    </row>
    <row r="219">
      <c r="A219" s="73" t="inlineStr">
        <is>
          <t>100651-2</t>
        </is>
      </c>
      <c r="B219" t="inlineStr">
        <is>
          <t>VASIL S.R.L.</t>
        </is>
      </c>
    </row>
    <row r="220">
      <c r="A220" s="74" t="n">
        <v>100512</v>
      </c>
      <c r="B220" t="inlineStr">
        <is>
          <t>BOASSO, ROMINA SOLEDAD</t>
        </is>
      </c>
    </row>
    <row r="221">
      <c r="A221" s="74" t="n">
        <v>101262</v>
      </c>
      <c r="B221" t="inlineStr">
        <is>
          <t>MORVAN JUAN PABLO</t>
        </is>
      </c>
    </row>
    <row r="222">
      <c r="A222" s="73" t="inlineStr">
        <is>
          <t>100109-4</t>
        </is>
      </c>
      <c r="B222" t="inlineStr">
        <is>
          <t>SUAREZ, MARIANO CARLOS</t>
        </is>
      </c>
    </row>
    <row r="223">
      <c r="A223" s="73" t="inlineStr">
        <is>
          <t>100187-1</t>
        </is>
      </c>
      <c r="B223" t="inlineStr">
        <is>
          <t>AIME, FERNANDO ARIEL</t>
        </is>
      </c>
    </row>
    <row r="224">
      <c r="A224" s="73" t="inlineStr">
        <is>
          <t>100594-17</t>
        </is>
      </c>
      <c r="B224" t="inlineStr">
        <is>
          <t>J.A.V.R.I. S.R.L.</t>
        </is>
      </c>
    </row>
    <row r="225">
      <c r="A225" s="73" t="inlineStr">
        <is>
          <t>100596-4</t>
        </is>
      </c>
      <c r="B225" t="inlineStr">
        <is>
          <t>NOVAG S.R.L.</t>
        </is>
      </c>
    </row>
    <row r="226">
      <c r="A226" s="73" t="inlineStr">
        <is>
          <t>100596-6</t>
        </is>
      </c>
      <c r="B226" t="inlineStr">
        <is>
          <t>NOVAG S.R.L.</t>
        </is>
      </c>
    </row>
    <row r="227">
      <c r="A227" s="73" t="inlineStr">
        <is>
          <t>100591-8</t>
        </is>
      </c>
      <c r="B227" t="inlineStr">
        <is>
          <t>AFIN S.R.L.</t>
        </is>
      </c>
    </row>
    <row r="228">
      <c r="A228" s="74" t="n">
        <v>101099</v>
      </c>
      <c r="B228" t="inlineStr">
        <is>
          <t>ROSA YANINA SOLEDAD</t>
        </is>
      </c>
    </row>
    <row r="229">
      <c r="A229" s="74" t="n">
        <v>100614</v>
      </c>
      <c r="B229" t="inlineStr">
        <is>
          <t>SALUED S.A.</t>
        </is>
      </c>
    </row>
    <row r="230">
      <c r="A230" s="74" t="n">
        <v>101281</v>
      </c>
      <c r="B230" t="inlineStr">
        <is>
          <t>HERNANDEZ SANTIAGO EMMANUEL</t>
        </is>
      </c>
    </row>
    <row r="231">
      <c r="A231" s="73" t="inlineStr">
        <is>
          <t>100650-12</t>
        </is>
      </c>
      <c r="B231" t="inlineStr">
        <is>
          <t>NOACOLD S.R.L.</t>
        </is>
      </c>
    </row>
    <row r="232">
      <c r="A232" s="73" t="inlineStr">
        <is>
          <t>100650-1</t>
        </is>
      </c>
      <c r="B232" t="inlineStr">
        <is>
          <t>NOACOLD S.R.L.</t>
        </is>
      </c>
    </row>
    <row r="233">
      <c r="A233" s="74" t="n">
        <v>100118</v>
      </c>
      <c r="B233" t="inlineStr">
        <is>
          <t>SPACCESI, AGUSTIN ALEJANDRO</t>
        </is>
      </c>
    </row>
    <row r="234">
      <c r="A234" s="73" t="inlineStr">
        <is>
          <t>100309-2</t>
        </is>
      </c>
      <c r="B234" t="inlineStr">
        <is>
          <t>MARTINEZ, GABRIELA ANGELICA</t>
        </is>
      </c>
    </row>
    <row r="235">
      <c r="A235" s="73" t="inlineStr">
        <is>
          <t>101163-1</t>
        </is>
      </c>
      <c r="B235" t="inlineStr">
        <is>
          <t>NOTO S.R.L.</t>
        </is>
      </c>
    </row>
    <row r="236">
      <c r="A236" s="73" t="inlineStr">
        <is>
          <t>100651-6</t>
        </is>
      </c>
      <c r="B236" t="inlineStr">
        <is>
          <t>VASIL S.R.L.</t>
        </is>
      </c>
    </row>
    <row r="237">
      <c r="A237" s="74" t="n">
        <v>101254</v>
      </c>
      <c r="B237" t="inlineStr">
        <is>
          <t>VILLAMEA FELIX GUSTAVO</t>
        </is>
      </c>
    </row>
    <row r="238">
      <c r="A238" s="74" t="n">
        <v>100534</v>
      </c>
      <c r="B238" t="inlineStr">
        <is>
          <t>RAMIREZ, PINEDA ANDREA LUCIA</t>
        </is>
      </c>
    </row>
    <row r="239">
      <c r="A239" s="74" t="n">
        <v>100906</v>
      </c>
      <c r="B239" t="inlineStr">
        <is>
          <t>RODRIGUEZ, AGUSTINA ALEJANDRA</t>
        </is>
      </c>
    </row>
    <row r="240">
      <c r="A240" s="73" t="inlineStr">
        <is>
          <t>100595-5</t>
        </is>
      </c>
      <c r="B240" t="inlineStr">
        <is>
          <t>ABUELA ESPERANZA S.R.L.</t>
        </is>
      </c>
    </row>
    <row r="241">
      <c r="A241" s="73" t="inlineStr">
        <is>
          <t>100375-1</t>
        </is>
      </c>
      <c r="B241" t="inlineStr">
        <is>
          <t>LIZONDO, MARIA GRACIELA</t>
        </is>
      </c>
    </row>
    <row r="242">
      <c r="A242" s="74" t="n">
        <v>100203</v>
      </c>
      <c r="B242" t="inlineStr">
        <is>
          <t>MONTECINOS, LUCIANO SEBASTIAN</t>
        </is>
      </c>
    </row>
    <row r="243">
      <c r="A243" s="73" t="inlineStr">
        <is>
          <t>100594-3</t>
        </is>
      </c>
      <c r="B243" t="inlineStr">
        <is>
          <t>J.A.V.R.I. S.R.L.</t>
        </is>
      </c>
    </row>
    <row r="244">
      <c r="A244" s="73" t="inlineStr">
        <is>
          <t>100594-12</t>
        </is>
      </c>
      <c r="B244" t="inlineStr">
        <is>
          <t>J.A.V.R.I. S.R.L.</t>
        </is>
      </c>
    </row>
    <row r="245">
      <c r="A245" s="74" t="n">
        <v>100425</v>
      </c>
      <c r="B245" t="inlineStr">
        <is>
          <t>ZABALA, ALEJANDRA</t>
        </is>
      </c>
    </row>
    <row r="246">
      <c r="A246" s="74" t="n">
        <v>101055</v>
      </c>
      <c r="B246" t="inlineStr">
        <is>
          <t>BRITO, MARIA CECILIA</t>
        </is>
      </c>
    </row>
    <row r="247">
      <c r="A247" s="73" t="inlineStr">
        <is>
          <t>100075-1</t>
        </is>
      </c>
      <c r="B247" t="inlineStr">
        <is>
          <t>JUAN, FAVIO RUBEN</t>
        </is>
      </c>
    </row>
    <row r="248">
      <c r="A248" s="73" t="inlineStr">
        <is>
          <t>100107-1</t>
        </is>
      </c>
      <c r="B248" t="inlineStr">
        <is>
          <t>SANCHEZ, JULIO HERNAN</t>
        </is>
      </c>
    </row>
    <row r="249">
      <c r="A249" s="74" t="n">
        <v>100156</v>
      </c>
      <c r="B249" t="inlineStr">
        <is>
          <t>REYES, CARLOS JAVIER</t>
        </is>
      </c>
    </row>
    <row r="250">
      <c r="A250" s="73" t="inlineStr">
        <is>
          <t>101408-2</t>
        </is>
      </c>
      <c r="B250" t="inlineStr">
        <is>
          <t>GASTRONOMÍA MODERNA S.R.L.</t>
        </is>
      </c>
    </row>
    <row r="251">
      <c r="A251" s="73" t="inlineStr">
        <is>
          <t>100173-1</t>
        </is>
      </c>
      <c r="B251" t="inlineStr">
        <is>
          <t>CARBAJAL, JORGE ALEJANDRO</t>
        </is>
      </c>
    </row>
    <row r="252">
      <c r="A252" s="74" t="n">
        <v>100347</v>
      </c>
      <c r="B252" t="inlineStr">
        <is>
          <t>PERALTA, PATRICIA DEL VALLE</t>
        </is>
      </c>
    </row>
    <row r="253">
      <c r="A253" s="74" t="n">
        <v>100165</v>
      </c>
      <c r="B253" t="inlineStr">
        <is>
          <t>CHAVEZ, SERGIO DARIO</t>
        </is>
      </c>
    </row>
    <row r="254">
      <c r="A254" s="74" t="n">
        <v>100129</v>
      </c>
      <c r="B254" t="inlineStr">
        <is>
          <t>TOURN, FABIAN ANDRES</t>
        </is>
      </c>
    </row>
    <row r="255">
      <c r="A255" s="74" t="n">
        <v>100167</v>
      </c>
      <c r="B255" t="inlineStr">
        <is>
          <t>PERITORE, GABRIEL ANTONIO</t>
        </is>
      </c>
    </row>
    <row r="256">
      <c r="A256" s="73" t="inlineStr">
        <is>
          <t>100667-4</t>
        </is>
      </c>
      <c r="B256" t="inlineStr">
        <is>
          <t>LU. KAP. S.R.L.</t>
        </is>
      </c>
    </row>
    <row r="257">
      <c r="A257" s="74" t="n">
        <v>100763</v>
      </c>
      <c r="B257" t="inlineStr">
        <is>
          <t>ANA HUERGO Y OSVALDO RODRIGUEZ</t>
        </is>
      </c>
    </row>
    <row r="258">
      <c r="A258" s="73" t="inlineStr">
        <is>
          <t>100597-5</t>
        </is>
      </c>
      <c r="B258" t="inlineStr">
        <is>
          <t>LE GLACIER SRL</t>
        </is>
      </c>
    </row>
    <row r="259">
      <c r="A259" s="74" t="n">
        <v>100628</v>
      </c>
      <c r="B259" t="inlineStr">
        <is>
          <t>FRANCOR S.R.L.</t>
        </is>
      </c>
    </row>
    <row r="260">
      <c r="A260" s="74" t="n">
        <v>100015</v>
      </c>
      <c r="B260" t="inlineStr">
        <is>
          <t>TEODOSIO, JORGE ALEJANDRO</t>
        </is>
      </c>
    </row>
    <row r="261">
      <c r="A261" s="74" t="n">
        <v>100228</v>
      </c>
      <c r="B261" t="inlineStr">
        <is>
          <t>MARTINA, DIEGO</t>
        </is>
      </c>
    </row>
    <row r="262">
      <c r="A262" s="73" t="inlineStr">
        <is>
          <t>100635-3</t>
        </is>
      </c>
      <c r="B262" t="inlineStr">
        <is>
          <t>GASTROLITORAL S.R.L.</t>
        </is>
      </c>
    </row>
    <row r="263">
      <c r="A263" s="73" t="inlineStr">
        <is>
          <t>100383-1</t>
        </is>
      </c>
      <c r="B263" t="inlineStr">
        <is>
          <t>VILLEGAS, SUSANA ELIZABETH</t>
        </is>
      </c>
    </row>
    <row r="264">
      <c r="A264" s="74" t="n">
        <v>101319</v>
      </c>
      <c r="B264" t="inlineStr">
        <is>
          <t>UTRERA SANDRA VALERIA</t>
        </is>
      </c>
    </row>
    <row r="265">
      <c r="A265" s="73" t="inlineStr">
        <is>
          <t>101103-3</t>
        </is>
      </c>
      <c r="B265" t="inlineStr">
        <is>
          <t>UNITED GROUP S.A.</t>
        </is>
      </c>
    </row>
    <row r="266">
      <c r="A266" s="73" t="inlineStr">
        <is>
          <t>100635-1</t>
        </is>
      </c>
      <c r="B266" t="inlineStr">
        <is>
          <t>GASTROLITORAL S.R.L.</t>
        </is>
      </c>
    </row>
    <row r="267">
      <c r="A267" s="74" t="n">
        <v>100527</v>
      </c>
      <c r="B267" t="inlineStr">
        <is>
          <t>RACCA, JORGELINA</t>
        </is>
      </c>
    </row>
    <row r="268">
      <c r="A268" s="74" t="n">
        <v>100323</v>
      </c>
      <c r="B268" t="inlineStr">
        <is>
          <t>CACERES, NEBER LUZ DEL VALLE</t>
        </is>
      </c>
    </row>
    <row r="269">
      <c r="A269" s="74" t="n">
        <v>100198</v>
      </c>
      <c r="B269" t="inlineStr">
        <is>
          <t>LESCANO, JOSE AUGUSTO</t>
        </is>
      </c>
    </row>
    <row r="270">
      <c r="A270" s="73" t="inlineStr">
        <is>
          <t>100777-1</t>
        </is>
      </c>
      <c r="B270" t="inlineStr">
        <is>
          <t>SOLBER S.R.L.</t>
        </is>
      </c>
    </row>
    <row r="271">
      <c r="A271" s="74" t="n">
        <v>100500</v>
      </c>
      <c r="B271" t="inlineStr">
        <is>
          <t>NAVARRO, SABRINA JIMENA</t>
        </is>
      </c>
    </row>
    <row r="272">
      <c r="A272" s="74" t="n">
        <v>100735</v>
      </c>
      <c r="B272" t="inlineStr">
        <is>
          <t>CONGELADOS Y CONSERVAS S.R.L.</t>
        </is>
      </c>
    </row>
    <row r="273">
      <c r="A273" s="73" t="inlineStr">
        <is>
          <t>100276-1</t>
        </is>
      </c>
      <c r="B273" t="inlineStr">
        <is>
          <t>VERA, RODRIGO ALBERTO</t>
        </is>
      </c>
    </row>
    <row r="274">
      <c r="A274" s="74" t="n">
        <v>100661</v>
      </c>
      <c r="B274" t="inlineStr">
        <is>
          <t>ANFE NORTE S.R.L.</t>
        </is>
      </c>
    </row>
    <row r="275">
      <c r="A275" s="73" t="inlineStr">
        <is>
          <t>100661-1</t>
        </is>
      </c>
      <c r="B275" t="inlineStr">
        <is>
          <t>ANFE NORTE S.R.L.</t>
        </is>
      </c>
    </row>
    <row r="276">
      <c r="A276" s="73" t="inlineStr">
        <is>
          <t>100861-4</t>
        </is>
      </c>
      <c r="B276" t="inlineStr">
        <is>
          <t>HERNANDO MAURICIO RUBEN</t>
        </is>
      </c>
    </row>
    <row r="277">
      <c r="A277" s="73" t="inlineStr">
        <is>
          <t>100194-1</t>
        </is>
      </c>
      <c r="B277" t="inlineStr">
        <is>
          <t>GEREZ, DANTE FERMIN</t>
        </is>
      </c>
    </row>
    <row r="278">
      <c r="A278" s="74" t="n">
        <v>100394</v>
      </c>
      <c r="B278" t="inlineStr">
        <is>
          <t>LEDESMA, CLAUDIA BEATRIZ DEL V</t>
        </is>
      </c>
    </row>
    <row r="279">
      <c r="A279" s="74" t="n">
        <v>100273</v>
      </c>
      <c r="B279" t="inlineStr">
        <is>
          <t>SARUBI, GONZALO RENE</t>
        </is>
      </c>
    </row>
    <row r="280">
      <c r="A280" s="73" t="inlineStr">
        <is>
          <t>100667-1</t>
        </is>
      </c>
      <c r="B280" t="inlineStr">
        <is>
          <t>LU. KAP. S.R.L.</t>
        </is>
      </c>
    </row>
    <row r="281">
      <c r="A281" s="73" t="inlineStr">
        <is>
          <t>100775-3</t>
        </is>
      </c>
      <c r="B281" t="inlineStr">
        <is>
          <t>PUNTO FRIO S.R.L.</t>
        </is>
      </c>
    </row>
    <row r="282">
      <c r="A282" s="73" t="inlineStr">
        <is>
          <t>100775-4</t>
        </is>
      </c>
      <c r="B282" t="inlineStr">
        <is>
          <t>PUNTO FRIO S.R.L.</t>
        </is>
      </c>
    </row>
    <row r="283">
      <c r="A283" s="74" t="n">
        <v>100518</v>
      </c>
      <c r="B283" t="inlineStr">
        <is>
          <t>SANTIAGO, CECILIA</t>
        </is>
      </c>
    </row>
    <row r="284">
      <c r="A284" s="74" t="n">
        <v>100545</v>
      </c>
      <c r="B284" t="inlineStr">
        <is>
          <t>ACOSTA, EMILIA VALERIA</t>
        </is>
      </c>
    </row>
    <row r="285">
      <c r="A285" s="74" t="n">
        <v>100136</v>
      </c>
      <c r="B285" t="inlineStr">
        <is>
          <t>MONTECINOS, ALDO FABIAN</t>
        </is>
      </c>
    </row>
    <row r="286">
      <c r="A286" s="74" t="n">
        <v>100767</v>
      </c>
      <c r="B286" t="inlineStr">
        <is>
          <t>PALO BLANCO S.R.L.</t>
        </is>
      </c>
    </row>
    <row r="287">
      <c r="A287" s="73" t="inlineStr">
        <is>
          <t>100762-4</t>
        </is>
      </c>
      <c r="B287" t="inlineStr">
        <is>
          <t>DITILAR S.A.</t>
        </is>
      </c>
    </row>
    <row r="288">
      <c r="A288" s="73" t="inlineStr">
        <is>
          <t>100592-1</t>
        </is>
      </c>
      <c r="B288" t="inlineStr">
        <is>
          <t>ADN S.R.L.</t>
        </is>
      </c>
    </row>
    <row r="289">
      <c r="A289" s="73" t="inlineStr">
        <is>
          <t>100047-1</t>
        </is>
      </c>
      <c r="B289" t="inlineStr">
        <is>
          <t>AZAR, PABLO ANDRES</t>
        </is>
      </c>
    </row>
    <row r="290">
      <c r="A290" s="73" t="inlineStr">
        <is>
          <t>100765-1</t>
        </is>
      </c>
      <c r="B290" t="inlineStr">
        <is>
          <t>H.R. TRES SOLES S.R.L.</t>
        </is>
      </c>
    </row>
    <row r="291">
      <c r="A291" s="73" t="inlineStr">
        <is>
          <t>100642-3</t>
        </is>
      </c>
      <c r="B291" t="inlineStr">
        <is>
          <t>CONSTANTINO S.R.L.</t>
        </is>
      </c>
    </row>
    <row r="292">
      <c r="A292" s="73" t="inlineStr">
        <is>
          <t>101163-3</t>
        </is>
      </c>
      <c r="B292" t="inlineStr">
        <is>
          <t>NOTO S.R.L.</t>
        </is>
      </c>
    </row>
    <row r="293">
      <c r="A293" s="73" t="inlineStr">
        <is>
          <t>100359-1</t>
        </is>
      </c>
      <c r="B293" t="inlineStr">
        <is>
          <t>FLUCK, NICOLAS</t>
        </is>
      </c>
    </row>
    <row r="294">
      <c r="A294" s="73" t="inlineStr">
        <is>
          <t>100642-1</t>
        </is>
      </c>
      <c r="B294" t="inlineStr">
        <is>
          <t>CONSTANTINO S.R.L.</t>
        </is>
      </c>
    </row>
    <row r="295">
      <c r="A295" s="74" t="n">
        <v>100282</v>
      </c>
      <c r="B295" t="inlineStr">
        <is>
          <t>VERON CASTRO, BRUNO EZEQUIEL</t>
        </is>
      </c>
    </row>
    <row r="296">
      <c r="A296" s="74" t="n">
        <v>100374</v>
      </c>
      <c r="B296" t="inlineStr">
        <is>
          <t>FERNANDEZ, ANA MARIA ELENA</t>
        </is>
      </c>
    </row>
    <row r="297">
      <c r="A297" s="73" t="inlineStr">
        <is>
          <t>100203-3</t>
        </is>
      </c>
      <c r="B297" t="inlineStr">
        <is>
          <t>MONTECINOS, LUCIANO SEBASTIAN</t>
        </is>
      </c>
    </row>
    <row r="298">
      <c r="A298" s="74" t="n">
        <v>100775</v>
      </c>
      <c r="B298" t="inlineStr">
        <is>
          <t>PUNTO FRIO S.R.L.</t>
        </is>
      </c>
    </row>
    <row r="299">
      <c r="A299" s="74" t="n">
        <v>100078</v>
      </c>
      <c r="B299" t="inlineStr">
        <is>
          <t>BUSTOS, ADRIAN ARIEL</t>
        </is>
      </c>
    </row>
    <row r="300">
      <c r="A300" s="74" t="n">
        <v>100695</v>
      </c>
      <c r="B300" t="inlineStr">
        <is>
          <t>PROXIMO S.R.L.</t>
        </is>
      </c>
    </row>
    <row r="301">
      <c r="A301" s="74" t="n">
        <v>101084</v>
      </c>
      <c r="B301" t="inlineStr">
        <is>
          <t>TWIN S.R.L.</t>
        </is>
      </c>
    </row>
    <row r="302">
      <c r="A302" s="73" t="inlineStr">
        <is>
          <t>100282-1</t>
        </is>
      </c>
      <c r="B302" t="inlineStr">
        <is>
          <t>VERON CASTRO, BRUNO EZEQUIEL</t>
        </is>
      </c>
    </row>
    <row r="303">
      <c r="A303" s="73" t="inlineStr">
        <is>
          <t>100984-1</t>
        </is>
      </c>
      <c r="B303" t="inlineStr">
        <is>
          <t>HIDALGO &amp; EMBRICI S.R.L.</t>
        </is>
      </c>
    </row>
    <row r="304">
      <c r="A304" s="73" t="inlineStr">
        <is>
          <t>100049-1</t>
        </is>
      </c>
      <c r="B304" t="inlineStr">
        <is>
          <t>BENITEZ, JUAN CARLOS</t>
        </is>
      </c>
    </row>
    <row r="305">
      <c r="A305" s="73" t="inlineStr">
        <is>
          <t>100096-1</t>
        </is>
      </c>
      <c r="B305" t="inlineStr">
        <is>
          <t>GIL, CLAUDIO ALEJANDRO</t>
        </is>
      </c>
    </row>
    <row r="306">
      <c r="A306" s="74" t="n">
        <v>100052</v>
      </c>
      <c r="B306" t="inlineStr">
        <is>
          <t>RUEDA, ELVIO ADOLFO</t>
        </is>
      </c>
    </row>
    <row r="307">
      <c r="A307" s="74" t="n">
        <v>100758</v>
      </c>
      <c r="B307" t="inlineStr">
        <is>
          <t>NIKITA S.R.L.</t>
        </is>
      </c>
    </row>
    <row r="308">
      <c r="A308" s="73" t="inlineStr">
        <is>
          <t>100775-1</t>
        </is>
      </c>
      <c r="B308" t="inlineStr">
        <is>
          <t>PUNTO FRIO S.R.L.</t>
        </is>
      </c>
    </row>
    <row r="309">
      <c r="A309" s="74" t="n">
        <v>100733</v>
      </c>
      <c r="B309" t="inlineStr">
        <is>
          <t>BARAJA S.R.L.</t>
        </is>
      </c>
    </row>
    <row r="310">
      <c r="A310" s="73" t="inlineStr">
        <is>
          <t>100015-1</t>
        </is>
      </c>
      <c r="B310" t="inlineStr">
        <is>
          <t>TEODOSIO, JORGE ALEJANDRO</t>
        </is>
      </c>
    </row>
    <row r="311">
      <c r="A311" s="73" t="inlineStr">
        <is>
          <t>100223-2</t>
        </is>
      </c>
      <c r="B311" t="inlineStr">
        <is>
          <t>CASAS ARREGUI MARCOS FRANCISCO</t>
        </is>
      </c>
    </row>
    <row r="312">
      <c r="A312" s="73" t="inlineStr">
        <is>
          <t>100817-6</t>
        </is>
      </c>
      <c r="B312" t="inlineStr">
        <is>
          <t>SANEUCO S.R.L.</t>
        </is>
      </c>
    </row>
    <row r="313">
      <c r="A313" s="73" t="inlineStr">
        <is>
          <t>100817-7</t>
        </is>
      </c>
      <c r="B313" t="inlineStr">
        <is>
          <t>SANEUCO S.R.L.</t>
        </is>
      </c>
    </row>
    <row r="314">
      <c r="A314" s="73" t="inlineStr">
        <is>
          <t>100817-2</t>
        </is>
      </c>
      <c r="B314" t="inlineStr">
        <is>
          <t>SANEUCO S.R.L.</t>
        </is>
      </c>
    </row>
    <row r="315">
      <c r="A315" s="74" t="n">
        <v>100441</v>
      </c>
      <c r="B315" t="inlineStr">
        <is>
          <t>ALVARADO, MARIELA NATALIA</t>
        </is>
      </c>
    </row>
    <row r="316">
      <c r="A316" s="73" t="inlineStr">
        <is>
          <t>100136-3</t>
        </is>
      </c>
      <c r="B316" t="inlineStr">
        <is>
          <t>MONTECINOS, ALDO FABIAN</t>
        </is>
      </c>
    </row>
    <row r="317">
      <c r="A317" s="74" t="n">
        <v>101122</v>
      </c>
      <c r="B317" t="inlineStr">
        <is>
          <t>CIBELO YABETA MARIA LIZZETH</t>
        </is>
      </c>
    </row>
    <row r="318">
      <c r="A318" s="73" t="inlineStr">
        <is>
          <t>100610-3</t>
        </is>
      </c>
      <c r="B318" t="inlineStr">
        <is>
          <t>INTERCOL S.A.</t>
        </is>
      </c>
    </row>
    <row r="319">
      <c r="A319" s="74" t="n">
        <v>100963</v>
      </c>
      <c r="B319" t="inlineStr">
        <is>
          <t>GOMEZ, LILIANA BEATRIZ</t>
        </is>
      </c>
    </row>
    <row r="320">
      <c r="A320" s="73" t="inlineStr">
        <is>
          <t>100081-2</t>
        </is>
      </c>
      <c r="B320" t="inlineStr">
        <is>
          <t>JAWAHAR, ANGEL MARCIAL</t>
        </is>
      </c>
    </row>
    <row r="321">
      <c r="A321" s="74" t="n">
        <v>100701</v>
      </c>
      <c r="B321" t="inlineStr">
        <is>
          <t>GRUPO ABG S.R.L.</t>
        </is>
      </c>
    </row>
    <row r="322">
      <c r="A322" s="73" t="inlineStr">
        <is>
          <t>100667-2</t>
        </is>
      </c>
      <c r="B322" t="inlineStr">
        <is>
          <t>LU. KAP. S.R.L.</t>
        </is>
      </c>
    </row>
    <row r="323">
      <c r="A323" s="74" t="n">
        <v>100624</v>
      </c>
      <c r="B323" t="inlineStr">
        <is>
          <t>MRD S.A.</t>
        </is>
      </c>
    </row>
    <row r="324">
      <c r="A324" s="73" t="inlineStr">
        <is>
          <t>100624-2</t>
        </is>
      </c>
      <c r="B324" t="inlineStr">
        <is>
          <t>MRD S.A.</t>
        </is>
      </c>
    </row>
    <row r="325">
      <c r="A325" s="73" t="inlineStr">
        <is>
          <t>100651-9</t>
        </is>
      </c>
      <c r="B325" t="inlineStr">
        <is>
          <t>VASIL S.R.L.</t>
        </is>
      </c>
    </row>
    <row r="326">
      <c r="A326" s="74" t="n">
        <v>101129</v>
      </c>
      <c r="B326" t="inlineStr">
        <is>
          <t>URQUIZA MAURO NICOLAS</t>
        </is>
      </c>
    </row>
    <row r="327">
      <c r="A327" s="73" t="inlineStr">
        <is>
          <t>100683-2</t>
        </is>
      </c>
      <c r="B327" t="inlineStr">
        <is>
          <t>LA GRANIZADA S.A.</t>
        </is>
      </c>
    </row>
    <row r="328">
      <c r="A328" s="73" t="inlineStr">
        <is>
          <t>100136-5</t>
        </is>
      </c>
      <c r="B328" t="inlineStr">
        <is>
          <t>MONTECINOS, ALDO FABIAN</t>
        </is>
      </c>
    </row>
    <row r="329">
      <c r="A329" s="74" t="n">
        <v>100106</v>
      </c>
      <c r="B329" t="inlineStr">
        <is>
          <t>CORONEL, VICTOR MANUEL</t>
        </is>
      </c>
    </row>
    <row r="330">
      <c r="A330" s="74" t="n">
        <v>100490</v>
      </c>
      <c r="B330" t="inlineStr">
        <is>
          <t>ESPINDOLA, YANINA MARIEL</t>
        </is>
      </c>
    </row>
    <row r="331">
      <c r="A331" s="74" t="n">
        <v>100679</v>
      </c>
      <c r="B331" t="inlineStr">
        <is>
          <t>HELADERIAS DEL LITORAL S.R.L.</t>
        </is>
      </c>
    </row>
    <row r="332">
      <c r="A332" s="73" t="inlineStr">
        <is>
          <t>100679-1</t>
        </is>
      </c>
      <c r="B332" t="inlineStr">
        <is>
          <t>HELADERIAS DEL LITORAL S.R.L.</t>
        </is>
      </c>
    </row>
    <row r="333">
      <c r="A333" s="73" t="inlineStr">
        <is>
          <t>101408-3</t>
        </is>
      </c>
      <c r="B333" t="inlineStr">
        <is>
          <t>GASTRONOMÍA MODERNA S.R.L.</t>
        </is>
      </c>
    </row>
    <row r="334">
      <c r="A334" s="74" t="n">
        <v>100669</v>
      </c>
      <c r="B334" t="inlineStr">
        <is>
          <t>CREMAS HELADAS OLAVARRIA SRL (</t>
        </is>
      </c>
    </row>
    <row r="335">
      <c r="A335" s="74" t="n">
        <v>100984</v>
      </c>
      <c r="B335" t="inlineStr">
        <is>
          <t>HIDALGO &amp; EMBRICI S.R.L.</t>
        </is>
      </c>
    </row>
    <row r="336">
      <c r="A336" s="74" t="n">
        <v>100543</v>
      </c>
      <c r="B336" t="inlineStr">
        <is>
          <t>LAZZATI YANINA SOLEDAD</t>
        </is>
      </c>
    </row>
    <row r="337">
      <c r="A337" s="74" t="n">
        <v>100915</v>
      </c>
      <c r="B337" t="inlineStr">
        <is>
          <t>MORETTI, LUCIANO FRANCO</t>
        </is>
      </c>
    </row>
    <row r="338">
      <c r="A338" s="73" t="inlineStr">
        <is>
          <t>100219-2</t>
        </is>
      </c>
      <c r="B338" t="inlineStr">
        <is>
          <t>BROGIN, NICOLAS</t>
        </is>
      </c>
    </row>
    <row r="339">
      <c r="A339" s="73" t="inlineStr">
        <is>
          <t>101082-1</t>
        </is>
      </c>
      <c r="B339" t="inlineStr">
        <is>
          <t>CEROGRADO S.A.S.</t>
        </is>
      </c>
    </row>
    <row r="340">
      <c r="A340" s="73" t="inlineStr">
        <is>
          <t>100628-6</t>
        </is>
      </c>
      <c r="B340" t="inlineStr">
        <is>
          <t>FRANCOR S.R.L.</t>
        </is>
      </c>
    </row>
    <row r="341">
      <c r="A341" s="73" t="inlineStr">
        <is>
          <t>100628-9</t>
        </is>
      </c>
      <c r="B341" t="inlineStr">
        <is>
          <t>FRANCOR S.R.L.</t>
        </is>
      </c>
    </row>
    <row r="342">
      <c r="A342" s="73" t="inlineStr">
        <is>
          <t>100198-1</t>
        </is>
      </c>
      <c r="B342" t="inlineStr">
        <is>
          <t>LESCANO, JOSE AUGUSTO</t>
        </is>
      </c>
    </row>
    <row r="343">
      <c r="A343" s="73" t="inlineStr">
        <is>
          <t>100676-1</t>
        </is>
      </c>
      <c r="B343" t="inlineStr">
        <is>
          <t>ICE MEN S.R.L.</t>
        </is>
      </c>
    </row>
    <row r="344">
      <c r="A344" s="74" t="n">
        <v>101046</v>
      </c>
      <c r="B344" t="inlineStr">
        <is>
          <t>CORACE, LUIS HERNAN</t>
        </is>
      </c>
    </row>
    <row r="345">
      <c r="A345" s="73" t="inlineStr">
        <is>
          <t> </t>
        </is>
      </c>
      <c r="B345" t="inlineStr">
        <is>
          <t> </t>
        </is>
      </c>
    </row>
    <row r="346">
      <c r="A346" s="73" t="inlineStr">
        <is>
          <t>100688-2</t>
        </is>
      </c>
      <c r="B346" t="inlineStr">
        <is>
          <t>DITTO S.R.L.</t>
        </is>
      </c>
    </row>
    <row r="347">
      <c r="A347" s="73" t="inlineStr">
        <is>
          <t>100667-3</t>
        </is>
      </c>
      <c r="B347" t="inlineStr">
        <is>
          <t>LU. KAP. S.R.L.</t>
        </is>
      </c>
    </row>
    <row r="348">
      <c r="A348" s="73" t="inlineStr">
        <is>
          <t>100534-1</t>
        </is>
      </c>
      <c r="B348" t="inlineStr">
        <is>
          <t>RAMIREZ, PINEDA ANDREA LUCIA</t>
        </is>
      </c>
    </row>
    <row r="349">
      <c r="A349" s="73" t="inlineStr">
        <is>
          <t>101132-1</t>
        </is>
      </c>
      <c r="B349" t="inlineStr">
        <is>
          <t>ICECOR S.A.S</t>
        </is>
      </c>
    </row>
    <row r="350">
      <c r="A350" s="74" t="n">
        <v>100411</v>
      </c>
      <c r="B350" t="inlineStr">
        <is>
          <t>VARELA, LAURA BEATRIZ</t>
        </is>
      </c>
    </row>
    <row r="351">
      <c r="A351" s="74" t="n">
        <v>100099</v>
      </c>
      <c r="B351" t="inlineStr">
        <is>
          <t>CIAVATTA, ALBERTO JAVIER</t>
        </is>
      </c>
    </row>
    <row r="352">
      <c r="A352" s="73" t="inlineStr">
        <is>
          <t>101335-1</t>
        </is>
      </c>
      <c r="B352" t="inlineStr">
        <is>
          <t>LENAPE S.A. EN FORMACION</t>
        </is>
      </c>
    </row>
    <row r="353">
      <c r="A353" s="74" t="n">
        <v>100105</v>
      </c>
      <c r="B353" t="inlineStr">
        <is>
          <t>JACQUET, DIEGO SEBASTIAN</t>
        </is>
      </c>
    </row>
    <row r="354">
      <c r="A354" s="73" t="inlineStr">
        <is>
          <t>101325-1</t>
        </is>
      </c>
      <c r="B354" t="inlineStr">
        <is>
          <t>BONGOUT S.A.S.</t>
        </is>
      </c>
    </row>
    <row r="355">
      <c r="A355" s="74" t="n">
        <v>101276</v>
      </c>
      <c r="B355" t="inlineStr">
        <is>
          <t>PILAR FROST S.R.L.</t>
        </is>
      </c>
    </row>
    <row r="356">
      <c r="A356" s="74" t="n">
        <v>100544</v>
      </c>
      <c r="B356" t="inlineStr">
        <is>
          <t>CARRIZO, MARIELA LETICIA</t>
        </is>
      </c>
    </row>
    <row r="357">
      <c r="A357" s="74" t="n">
        <v>100404</v>
      </c>
      <c r="B357" t="inlineStr">
        <is>
          <t>RUEDA, SANDRA SILVANA</t>
        </is>
      </c>
    </row>
    <row r="358">
      <c r="A358" s="74" t="n">
        <v>101405</v>
      </c>
      <c r="B358" t="inlineStr">
        <is>
          <t>OVANDO OFELIA MARIA</t>
        </is>
      </c>
    </row>
    <row r="359">
      <c r="A359" s="74" t="n">
        <v>100443</v>
      </c>
      <c r="B359" t="inlineStr">
        <is>
          <t>FERRER, ALEJANDRA ANALIA</t>
        </is>
      </c>
    </row>
    <row r="360">
      <c r="A360" s="74" t="n">
        <v>100922</v>
      </c>
      <c r="B360" t="inlineStr">
        <is>
          <t>DIEZ, LEONARDO DAMIAN</t>
        </is>
      </c>
    </row>
    <row r="361">
      <c r="A361" s="73" t="inlineStr">
        <is>
          <t>100514-1</t>
        </is>
      </c>
      <c r="B361" t="inlineStr">
        <is>
          <t>OLIVIER, MARIA FERNANDA</t>
        </is>
      </c>
    </row>
    <row r="362">
      <c r="A362" s="73" t="inlineStr">
        <is>
          <t>100596-8</t>
        </is>
      </c>
      <c r="B362" t="inlineStr">
        <is>
          <t>NOVAG S.R.L.</t>
        </is>
      </c>
    </row>
    <row r="363">
      <c r="A363" s="73" t="inlineStr">
        <is>
          <t>100596-5</t>
        </is>
      </c>
      <c r="B363" t="inlineStr">
        <is>
          <t>NOVAG S.R.L.</t>
        </is>
      </c>
    </row>
    <row r="364">
      <c r="A364" s="74" t="n">
        <v>101453</v>
      </c>
      <c r="B364" t="inlineStr">
        <is>
          <t>DAPACBA S.A.S.</t>
        </is>
      </c>
    </row>
    <row r="365">
      <c r="A365" s="74" t="n">
        <v>100711</v>
      </c>
      <c r="B365" t="inlineStr">
        <is>
          <t>POLI S.R.L.</t>
        </is>
      </c>
    </row>
    <row r="366">
      <c r="A366" s="73" t="inlineStr">
        <is>
          <t>100198-2</t>
        </is>
      </c>
      <c r="B366" t="inlineStr">
        <is>
          <t>LESCANO, JOSE AUGUSTO</t>
        </is>
      </c>
    </row>
    <row r="367">
      <c r="A367" s="74" t="n">
        <v>100638</v>
      </c>
      <c r="B367" t="inlineStr">
        <is>
          <t>HERRERO MIRTA Y PASSERON RODOL</t>
        </is>
      </c>
    </row>
    <row r="368">
      <c r="A368" s="74" t="n">
        <v>100026</v>
      </c>
      <c r="B368" t="inlineStr">
        <is>
          <t>CELIZ, SERGIO JOSE</t>
        </is>
      </c>
    </row>
    <row r="369">
      <c r="A369" s="73" t="inlineStr">
        <is>
          <t>100109-2</t>
        </is>
      </c>
      <c r="B369" t="inlineStr">
        <is>
          <t>SUAREZ, MARIANO CARLOS</t>
        </is>
      </c>
    </row>
    <row r="370">
      <c r="A370" s="73" t="inlineStr">
        <is>
          <t>100049-2</t>
        </is>
      </c>
      <c r="B370" t="inlineStr">
        <is>
          <t>BENITEZ, JUAN CARLOS</t>
        </is>
      </c>
    </row>
    <row r="371">
      <c r="A371" s="73" t="inlineStr">
        <is>
          <t>100595-6</t>
        </is>
      </c>
      <c r="B371" t="inlineStr">
        <is>
          <t>ABUELA ESPERANZA S.R.L.</t>
        </is>
      </c>
    </row>
    <row r="372">
      <c r="A372" s="73" t="inlineStr">
        <is>
          <t>101084-1</t>
        </is>
      </c>
      <c r="B372" t="inlineStr">
        <is>
          <t>TWIN S.R.L.</t>
        </is>
      </c>
    </row>
    <row r="373">
      <c r="A373" s="74" t="n">
        <v>100364</v>
      </c>
      <c r="B373" t="inlineStr">
        <is>
          <t>MEHRING, CARMEN</t>
        </is>
      </c>
    </row>
    <row r="374">
      <c r="A374" s="74" t="n">
        <v>100506</v>
      </c>
      <c r="B374" t="inlineStr">
        <is>
          <t>MARE, IVANA ALEJANDRA</t>
        </is>
      </c>
    </row>
    <row r="375">
      <c r="A375" s="74" t="n">
        <v>101458</v>
      </c>
      <c r="B375" t="inlineStr">
        <is>
          <t>ICE BBY S.A.S</t>
        </is>
      </c>
    </row>
    <row r="376">
      <c r="A376" s="73" t="inlineStr">
        <is>
          <t>100650-2</t>
        </is>
      </c>
      <c r="B376" t="inlineStr">
        <is>
          <t>NOACOLD S.R.L.</t>
        </is>
      </c>
    </row>
    <row r="377">
      <c r="A377" s="73" t="inlineStr">
        <is>
          <t>100624-1</t>
        </is>
      </c>
      <c r="B377" t="inlineStr">
        <is>
          <t>MRD S.A.</t>
        </is>
      </c>
    </row>
    <row r="378">
      <c r="A378" s="73" t="inlineStr">
        <is>
          <t>100635-4</t>
        </is>
      </c>
      <c r="B378" t="inlineStr">
        <is>
          <t>GASTROLITORAL S.R.L.</t>
        </is>
      </c>
    </row>
    <row r="379">
      <c r="A379" s="74" t="n">
        <v>101024</v>
      </c>
      <c r="B379" t="inlineStr">
        <is>
          <t>MATTIAZZI, NICOLAS EMMANUEL</t>
        </is>
      </c>
    </row>
    <row r="380">
      <c r="A380" s="74" t="n">
        <v>101185</v>
      </c>
      <c r="B380" t="inlineStr">
        <is>
          <t>MATOCA S.A.S.</t>
        </is>
      </c>
    </row>
    <row r="381">
      <c r="A381" s="73" t="inlineStr">
        <is>
          <t>100359-2</t>
        </is>
      </c>
      <c r="B381" t="inlineStr">
        <is>
          <t>FLUCK, NICOLAS</t>
        </is>
      </c>
    </row>
    <row r="382">
      <c r="A382" s="73" t="inlineStr">
        <is>
          <t>100669-1</t>
        </is>
      </c>
      <c r="B382" t="inlineStr">
        <is>
          <t>CREMAS HELADAS OLAVARRIA SRL (</t>
        </is>
      </c>
    </row>
    <row r="383">
      <c r="A383" s="74" t="n">
        <v>101422</v>
      </c>
      <c r="B383" t="inlineStr">
        <is>
          <t>BUSICO HUMBERTO FERNANDO</t>
        </is>
      </c>
    </row>
    <row r="384">
      <c r="A384" s="73" t="inlineStr">
        <is>
          <t>100670-1</t>
        </is>
      </c>
      <c r="B384" t="inlineStr">
        <is>
          <t>SUMMER BLUE S.R.L.</t>
        </is>
      </c>
    </row>
    <row r="385">
      <c r="A385" s="73" t="inlineStr">
        <is>
          <t>100762-2</t>
        </is>
      </c>
      <c r="B385" t="inlineStr">
        <is>
          <t>DITILAR S.A.</t>
        </is>
      </c>
    </row>
    <row r="386">
      <c r="A386" s="74" t="n">
        <v>100164</v>
      </c>
      <c r="B386" t="inlineStr">
        <is>
          <t>BERTOMEU, JAVIER ORLANDO</t>
        </is>
      </c>
    </row>
    <row r="387">
      <c r="A387" s="73" t="inlineStr">
        <is>
          <t>100597-3</t>
        </is>
      </c>
      <c r="B387" t="inlineStr">
        <is>
          <t>LE GLACIER SRL</t>
        </is>
      </c>
    </row>
    <row r="388">
      <c r="A388" s="74" t="n">
        <v>100376</v>
      </c>
      <c r="B388" t="inlineStr">
        <is>
          <t>NAVARRO, MONICA CRISTINA</t>
        </is>
      </c>
    </row>
    <row r="389">
      <c r="A389" s="74" t="n">
        <v>100516</v>
      </c>
      <c r="B389" t="inlineStr">
        <is>
          <t>ONTIVERO, MIRIAM SUSANA</t>
        </is>
      </c>
    </row>
    <row r="390">
      <c r="A390" s="73" t="inlineStr">
        <is>
          <t>100136-1</t>
        </is>
      </c>
      <c r="B390" t="inlineStr">
        <is>
          <t>MONTECINOS, ALDO FABIAN</t>
        </is>
      </c>
    </row>
    <row r="391">
      <c r="A391" s="74" t="n">
        <v>100379</v>
      </c>
      <c r="B391" t="inlineStr">
        <is>
          <t>RUEDA, ELINA ASUNCION</t>
        </is>
      </c>
    </row>
    <row r="392">
      <c r="A392" s="73" t="inlineStr">
        <is>
          <t>100136-4</t>
        </is>
      </c>
      <c r="B392" t="inlineStr">
        <is>
          <t>MONTECINOS, ALDO FABIAN</t>
        </is>
      </c>
    </row>
    <row r="393">
      <c r="A393" s="73" t="inlineStr">
        <is>
          <t>100646-3</t>
        </is>
      </c>
      <c r="B393" t="inlineStr">
        <is>
          <t>ADRIMAR S.R.L.</t>
        </is>
      </c>
    </row>
    <row r="394">
      <c r="A394" s="73" t="inlineStr">
        <is>
          <t>100688-3</t>
        </is>
      </c>
      <c r="B394" t="inlineStr">
        <is>
          <t>DITTO S.R.L.</t>
        </is>
      </c>
    </row>
    <row r="395">
      <c r="A395" s="74" t="n">
        <v>100594</v>
      </c>
      <c r="B395" t="inlineStr">
        <is>
          <t>J.A.V.R.I. S.R.L.</t>
        </is>
      </c>
    </row>
    <row r="396">
      <c r="A396" s="73" t="inlineStr">
        <is>
          <t>100109-5</t>
        </is>
      </c>
      <c r="B396" t="inlineStr">
        <is>
          <t>SUAREZ, MARIANO CARLOS</t>
        </is>
      </c>
    </row>
    <row r="397">
      <c r="A397" s="74" t="n">
        <v>100766</v>
      </c>
      <c r="B397" t="inlineStr">
        <is>
          <t>HELAVM S.R.L.</t>
        </is>
      </c>
    </row>
    <row r="398">
      <c r="A398" s="73" t="inlineStr">
        <is>
          <t>100479-1</t>
        </is>
      </c>
      <c r="B398" t="inlineStr">
        <is>
          <t>STECHINA, MARIA VIRGINIA</t>
        </is>
      </c>
    </row>
    <row r="399">
      <c r="A399" s="73" t="inlineStr">
        <is>
          <t>100651-3</t>
        </is>
      </c>
      <c r="B399" t="inlineStr">
        <is>
          <t>VASIL S.R.L.</t>
        </is>
      </c>
    </row>
    <row r="400">
      <c r="A400" s="74" t="n">
        <v>100012</v>
      </c>
      <c r="B400" t="inlineStr">
        <is>
          <t>CIENFUEGOS, JOSE ALFREDO</t>
        </is>
      </c>
    </row>
    <row r="401">
      <c r="A401" s="73" t="inlineStr">
        <is>
          <t>100767-1</t>
        </is>
      </c>
      <c r="B401" t="inlineStr">
        <is>
          <t>PALO BLANCO S.R.L.</t>
        </is>
      </c>
    </row>
    <row r="402">
      <c r="A402" s="73" t="inlineStr">
        <is>
          <t>100621-1</t>
        </is>
      </c>
      <c r="B402" t="inlineStr">
        <is>
          <t>LUCCRA S.A.</t>
        </is>
      </c>
    </row>
    <row r="403">
      <c r="A403" s="74" t="n">
        <v>100103</v>
      </c>
      <c r="B403" t="inlineStr">
        <is>
          <t>OGA, MARIANO</t>
        </is>
      </c>
    </row>
    <row r="404">
      <c r="A404" s="73" t="inlineStr">
        <is>
          <t>100667-5</t>
        </is>
      </c>
      <c r="B404" t="inlineStr">
        <is>
          <t>LU. KAP. S.R.L.</t>
        </is>
      </c>
    </row>
    <row r="405">
      <c r="A405" s="74" t="n">
        <v>101324</v>
      </c>
      <c r="B405" t="inlineStr">
        <is>
          <t>DANIELE FRANCO JOSE</t>
        </is>
      </c>
    </row>
    <row r="406">
      <c r="A406" s="73" t="inlineStr">
        <is>
          <t>100591-1</t>
        </is>
      </c>
      <c r="B406" t="inlineStr">
        <is>
          <t>AFIN S.R.L.</t>
        </is>
      </c>
    </row>
    <row r="407">
      <c r="A407" s="74" t="n">
        <v>100229</v>
      </c>
      <c r="B407" t="inlineStr">
        <is>
          <t>MALDONADO, HUGO JEREMIAS</t>
        </is>
      </c>
    </row>
    <row r="408">
      <c r="A408" s="74" t="n">
        <v>100223</v>
      </c>
      <c r="B408" t="inlineStr">
        <is>
          <t>CASAS ARREGUI MARCOS FRANCISCO</t>
        </is>
      </c>
    </row>
    <row r="409">
      <c r="A409" s="74" t="n">
        <v>100327</v>
      </c>
      <c r="B409" t="inlineStr">
        <is>
          <t>TOMSIG, EMILIANO GUILLERMO</t>
        </is>
      </c>
    </row>
    <row r="410">
      <c r="A410" s="74" t="n">
        <v>100330</v>
      </c>
      <c r="B410" t="inlineStr">
        <is>
          <t>LLEPEUE, DIEGO ANTONIO</t>
        </is>
      </c>
    </row>
    <row r="411">
      <c r="A411" s="73" t="inlineStr">
        <is>
          <t>100640-1</t>
        </is>
      </c>
      <c r="B411" t="inlineStr">
        <is>
          <t>BASE AZUL S.R.L.</t>
        </is>
      </c>
    </row>
    <row r="412">
      <c r="A412" s="73" t="inlineStr">
        <is>
          <t>100671-1</t>
        </is>
      </c>
      <c r="B412" t="inlineStr">
        <is>
          <t>MARAGATO S.R.L.</t>
        </is>
      </c>
    </row>
    <row r="413">
      <c r="A413" s="74" t="n">
        <v>100390</v>
      </c>
      <c r="B413" t="inlineStr">
        <is>
          <t>ANDRADA, DELMA MIRIAM</t>
        </is>
      </c>
    </row>
    <row r="414">
      <c r="A414" s="73" t="inlineStr">
        <is>
          <t>100817-4</t>
        </is>
      </c>
      <c r="B414" t="inlineStr">
        <is>
          <t>SANEUCO S.R.L.</t>
        </is>
      </c>
    </row>
    <row r="415">
      <c r="A415" s="73" t="inlineStr">
        <is>
          <t>100015-2</t>
        </is>
      </c>
      <c r="B415" t="inlineStr">
        <is>
          <t>TEODOSIO, JORGE ALEJANDRO</t>
        </is>
      </c>
    </row>
    <row r="416">
      <c r="A416" s="73" t="inlineStr">
        <is>
          <t>100596-7</t>
        </is>
      </c>
      <c r="B416" t="inlineStr">
        <is>
          <t>NOVAG S.R.L.</t>
        </is>
      </c>
    </row>
    <row r="417">
      <c r="A417" s="73" t="inlineStr">
        <is>
          <t>100667-6</t>
        </is>
      </c>
      <c r="B417" t="inlineStr">
        <is>
          <t>LU. KAP. S.R.L.</t>
        </is>
      </c>
    </row>
    <row r="418">
      <c r="A418" s="73" t="inlineStr">
        <is>
          <t>100219-1</t>
        </is>
      </c>
      <c r="B418" t="inlineStr">
        <is>
          <t>BROGIN, NICOLAS</t>
        </is>
      </c>
    </row>
    <row r="419">
      <c r="A419" s="74" t="n">
        <v>100095</v>
      </c>
      <c r="B419" t="inlineStr">
        <is>
          <t>STECHINA, DARIO JULIAN</t>
        </is>
      </c>
    </row>
    <row r="420">
      <c r="A420" s="73" t="inlineStr">
        <is>
          <t>100688-1</t>
        </is>
      </c>
      <c r="B420" t="inlineStr">
        <is>
          <t>DITTO S.R.L.</t>
        </is>
      </c>
    </row>
    <row r="421">
      <c r="A421" s="74" t="n">
        <v>100609</v>
      </c>
      <c r="B421" t="inlineStr">
        <is>
          <t>SEREMA S.R.L.</t>
        </is>
      </c>
    </row>
    <row r="422">
      <c r="A422" s="74" t="n">
        <v>101081</v>
      </c>
      <c r="B422" t="inlineStr">
        <is>
          <t>PEREZ, VERONICA LORENA</t>
        </is>
      </c>
    </row>
    <row r="423">
      <c r="A423" s="73" t="inlineStr">
        <is>
          <t>100771-1</t>
        </is>
      </c>
      <c r="B423" t="inlineStr">
        <is>
          <t>CREMOSO S.R.L.</t>
        </is>
      </c>
    </row>
    <row r="424">
      <c r="A424" s="74" t="n">
        <v>100402</v>
      </c>
      <c r="B424" t="inlineStr">
        <is>
          <t>PICCHIO, ALEJANDRA VALENTINA</t>
        </is>
      </c>
    </row>
    <row r="425">
      <c r="A425" s="74" t="n">
        <v>100320</v>
      </c>
      <c r="B425" t="inlineStr">
        <is>
          <t>FISSOLO, HUGO ALBERTO</t>
        </is>
      </c>
    </row>
    <row r="426">
      <c r="A426" s="73" t="inlineStr">
        <is>
          <t>100646-4</t>
        </is>
      </c>
      <c r="B426" t="inlineStr">
        <is>
          <t>ADRIMAR S.R.L.</t>
        </is>
      </c>
    </row>
    <row r="427">
      <c r="A427" s="74" t="n">
        <v>100762</v>
      </c>
      <c r="B427" t="inlineStr">
        <is>
          <t>DITILAR S.A.</t>
        </is>
      </c>
    </row>
    <row r="428">
      <c r="A428" s="73" t="inlineStr">
        <is>
          <t>100688-6</t>
        </is>
      </c>
      <c r="B428" t="inlineStr">
        <is>
          <t>DITTO S.R.L.</t>
        </is>
      </c>
    </row>
    <row r="429">
      <c r="A429" s="74" t="n">
        <v>100080</v>
      </c>
      <c r="B429" t="inlineStr">
        <is>
          <t>BERNASCONI, VICTOR FABIAN</t>
        </is>
      </c>
    </row>
    <row r="430">
      <c r="A430" s="73" t="inlineStr">
        <is>
          <t>100459-1</t>
        </is>
      </c>
      <c r="B430" t="inlineStr">
        <is>
          <t>BISINELLA, EVANGELINA</t>
        </is>
      </c>
    </row>
    <row r="431">
      <c r="A431" s="74" t="n">
        <v>100797</v>
      </c>
      <c r="B431" t="inlineStr">
        <is>
          <t>QUEVEDO, NATALIA CAROLINA</t>
        </is>
      </c>
    </row>
    <row r="432">
      <c r="A432" s="74" t="n">
        <v>100635</v>
      </c>
      <c r="B432" t="inlineStr">
        <is>
          <t>GASTROLITORAL S.R.L.</t>
        </is>
      </c>
    </row>
    <row r="433">
      <c r="A433" s="74" t="n">
        <v>100092</v>
      </c>
      <c r="B433" t="inlineStr">
        <is>
          <t>FERNANDEZ, DANIEL ALBERTO</t>
        </is>
      </c>
    </row>
    <row r="434">
      <c r="A434" s="73" t="inlineStr">
        <is>
          <t>100598-1</t>
        </is>
      </c>
      <c r="B434" t="inlineStr">
        <is>
          <t>MODOS SA</t>
        </is>
      </c>
    </row>
    <row r="435">
      <c r="A435" s="74" t="n">
        <v>100599</v>
      </c>
      <c r="B435" t="inlineStr">
        <is>
          <t>BIZMAL SRL</t>
        </is>
      </c>
    </row>
    <row r="436">
      <c r="A436" s="73" t="inlineStr">
        <is>
          <t>100628-10</t>
        </is>
      </c>
      <c r="B436" t="inlineStr">
        <is>
          <t>FRANCOR S.R.L.</t>
        </is>
      </c>
    </row>
    <row r="437">
      <c r="A437" s="74" t="n">
        <v>100720</v>
      </c>
      <c r="B437" t="inlineStr">
        <is>
          <t>KLEINBOG S.A.</t>
        </is>
      </c>
    </row>
    <row r="438">
      <c r="A438" s="73" t="inlineStr">
        <is>
          <t>100650-4</t>
        </is>
      </c>
      <c r="B438" t="inlineStr">
        <is>
          <t>NOACOLD S.R.L.</t>
        </is>
      </c>
    </row>
    <row r="439">
      <c r="A439" s="73" t="inlineStr">
        <is>
          <t>100650-3</t>
        </is>
      </c>
      <c r="B439" t="inlineStr">
        <is>
          <t>NOACOLD S.R.L.</t>
        </is>
      </c>
    </row>
    <row r="440">
      <c r="A440" s="73" t="inlineStr">
        <is>
          <t>100775-2</t>
        </is>
      </c>
      <c r="B440" t="inlineStr">
        <is>
          <t>PUNTO FRIO S.R.L.</t>
        </is>
      </c>
    </row>
    <row r="441">
      <c r="A441" s="74" t="n">
        <v>100645</v>
      </c>
      <c r="B441" t="inlineStr">
        <is>
          <t>CORRIENTES HELADAS S.R.L.</t>
        </is>
      </c>
    </row>
    <row r="442">
      <c r="A442" s="73" t="inlineStr">
        <is>
          <t>100645-1</t>
        </is>
      </c>
      <c r="B442" t="inlineStr">
        <is>
          <t>CORRIENTES HELADAS S.R.L.</t>
        </is>
      </c>
    </row>
    <row r="443">
      <c r="A443" s="73" t="inlineStr">
        <is>
          <t>100223-1</t>
        </is>
      </c>
      <c r="B443" t="inlineStr">
        <is>
          <t>CASAS ARREGUI MARCOS FRANCISCO</t>
        </is>
      </c>
    </row>
    <row r="444">
      <c r="A444" s="74" t="n">
        <v>101178</v>
      </c>
      <c r="B444" t="inlineStr">
        <is>
          <t>ESPINDOLA SILVINA OLGA</t>
        </is>
      </c>
    </row>
    <row r="445">
      <c r="A445" s="74" t="n">
        <v>100563</v>
      </c>
      <c r="B445" t="inlineStr">
        <is>
          <t>NUSS, YESICA NOELIA</t>
        </is>
      </c>
    </row>
    <row r="446">
      <c r="A446" s="74" t="n">
        <v>101214</v>
      </c>
      <c r="B446" t="inlineStr">
        <is>
          <t>SCALI PATRICIO OSCAR</t>
        </is>
      </c>
    </row>
    <row r="447">
      <c r="A447" s="74" t="n">
        <v>100752</v>
      </c>
      <c r="B447" t="inlineStr">
        <is>
          <t>HELBARC S.R.L.</t>
        </is>
      </c>
    </row>
    <row r="448">
      <c r="A448" s="73" t="inlineStr">
        <is>
          <t>100752-1</t>
        </is>
      </c>
      <c r="B448" t="inlineStr">
        <is>
          <t>HELBARC S.R.L.</t>
        </is>
      </c>
    </row>
    <row r="449">
      <c r="A449" s="73" t="inlineStr">
        <is>
          <t>100053-2</t>
        </is>
      </c>
      <c r="B449" t="inlineStr">
        <is>
          <t>PERETO, GUSTAVO GABRIEL</t>
        </is>
      </c>
    </row>
    <row r="450">
      <c r="A450" s="74" t="n">
        <v>100296</v>
      </c>
      <c r="B450" t="inlineStr">
        <is>
          <t>RAIMUNDO, WALTER GERARDO</t>
        </is>
      </c>
    </row>
    <row r="451">
      <c r="A451" s="73" t="inlineStr">
        <is>
          <t>100051-1</t>
        </is>
      </c>
      <c r="B451" t="inlineStr">
        <is>
          <t>AVENDAÑO, DANIEL GUSTAVO</t>
        </is>
      </c>
    </row>
    <row r="452">
      <c r="A452" s="73" t="inlineStr">
        <is>
          <t>101005-1</t>
        </is>
      </c>
      <c r="B452" t="inlineStr">
        <is>
          <t>BUFFAGNI, EMILIANO SIMON</t>
        </is>
      </c>
    </row>
    <row r="453">
      <c r="A453" s="73" t="inlineStr">
        <is>
          <t>100015-3</t>
        </is>
      </c>
      <c r="B453" t="inlineStr">
        <is>
          <t>TEODOSIO, JORGE ALEJANDRO</t>
        </is>
      </c>
    </row>
    <row r="454">
      <c r="A454" s="74" t="n">
        <v>100571</v>
      </c>
      <c r="B454" t="inlineStr">
        <is>
          <t>NICOLINI, YESICA ROMINA</t>
        </is>
      </c>
    </row>
    <row r="455">
      <c r="A455" s="73" t="inlineStr">
        <is>
          <t>100631-5</t>
        </is>
      </c>
      <c r="B455" t="inlineStr">
        <is>
          <t>GRUPO CENTRO S.R.L.</t>
        </is>
      </c>
    </row>
    <row r="456">
      <c r="A456" s="73" t="inlineStr">
        <is>
          <t>101084-2</t>
        </is>
      </c>
      <c r="B456" t="inlineStr">
        <is>
          <t>TWIN S.R.L.</t>
        </is>
      </c>
    </row>
    <row r="457">
      <c r="A457" s="74" t="n">
        <v>100262</v>
      </c>
      <c r="B457" t="inlineStr">
        <is>
          <t>CIENFUEGOS, DIEGO MATIAS</t>
        </is>
      </c>
    </row>
    <row r="458">
      <c r="A458" s="74" t="n">
        <v>100293</v>
      </c>
      <c r="B458" t="inlineStr">
        <is>
          <t>PERCIVALLE MARIA FERNANDA</t>
        </is>
      </c>
    </row>
    <row r="459">
      <c r="A459" s="74" t="n">
        <v>100600</v>
      </c>
      <c r="B459" t="inlineStr">
        <is>
          <t>SFS S.H. DE URQUIZA GUILLERMO</t>
        </is>
      </c>
    </row>
    <row r="460">
      <c r="A460" s="74" t="n">
        <v>100491</v>
      </c>
      <c r="B460" t="inlineStr">
        <is>
          <t>ROLDAN, CLAUDIA RAFAELA DE JES</t>
        </is>
      </c>
    </row>
    <row r="461">
      <c r="A461" s="74" t="n">
        <v>101368</v>
      </c>
      <c r="B461" t="inlineStr">
        <is>
          <t>PEVERI NATALIA SOLEDAD</t>
        </is>
      </c>
    </row>
    <row r="462">
      <c r="A462" s="73" t="inlineStr">
        <is>
          <t>100552-2</t>
        </is>
      </c>
      <c r="B462" t="inlineStr">
        <is>
          <t>LACOSTE, NATALIA JUDIT</t>
        </is>
      </c>
    </row>
    <row r="463">
      <c r="A463" s="73" t="inlineStr">
        <is>
          <t>100460-1</t>
        </is>
      </c>
      <c r="B463" t="inlineStr">
        <is>
          <t>COCCO, NORMA ANDREA PIERINA</t>
        </is>
      </c>
    </row>
    <row r="464">
      <c r="A464" s="73" t="inlineStr">
        <is>
          <t>100506-1</t>
        </is>
      </c>
      <c r="B464" t="inlineStr">
        <is>
          <t>MARE, IVANA ALEJANDRA</t>
        </is>
      </c>
    </row>
    <row r="465">
      <c r="A465" s="73" t="inlineStr">
        <is>
          <t>101181-1</t>
        </is>
      </c>
      <c r="B465" t="inlineStr">
        <is>
          <t>FROZEN DAS S.A.S.</t>
        </is>
      </c>
    </row>
    <row r="466">
      <c r="A466" s="73" t="inlineStr">
        <is>
          <t>100688-4</t>
        </is>
      </c>
      <c r="B466" t="inlineStr">
        <is>
          <t>DITTO S.R.L.</t>
        </is>
      </c>
    </row>
    <row r="467">
      <c r="A467" s="74" t="n">
        <v>101038</v>
      </c>
      <c r="B467" t="inlineStr">
        <is>
          <t>STB SRL</t>
        </is>
      </c>
    </row>
    <row r="468">
      <c r="A468" s="74" t="n">
        <v>100988</v>
      </c>
      <c r="B468" t="inlineStr">
        <is>
          <t>JUAREZ, CINTIA VALERIA DEL VAL</t>
        </is>
      </c>
    </row>
    <row r="469">
      <c r="A469" s="73" t="inlineStr">
        <is>
          <t>100640-2</t>
        </is>
      </c>
      <c r="B469" t="inlineStr">
        <is>
          <t>BASE AZUL S.R.L.</t>
        </is>
      </c>
    </row>
    <row r="470">
      <c r="A470" s="74" t="n">
        <v>100424</v>
      </c>
      <c r="B470" t="inlineStr">
        <is>
          <t>JURI, MARIELA SILVINA</t>
        </is>
      </c>
    </row>
    <row r="471">
      <c r="A471" s="73" t="inlineStr">
        <is>
          <t>100599-1</t>
        </is>
      </c>
      <c r="B471" t="inlineStr">
        <is>
          <t>BIZMAL SRL</t>
        </is>
      </c>
    </row>
    <row r="472">
      <c r="A472" s="74" t="n">
        <v>100049</v>
      </c>
      <c r="B472" t="inlineStr">
        <is>
          <t>BENITEZ, JUAN CARLOS</t>
        </is>
      </c>
    </row>
    <row r="473">
      <c r="A473" s="74" t="n">
        <v>100501</v>
      </c>
      <c r="B473" t="inlineStr">
        <is>
          <t>VICARIO, NATALIA MARICEL DEL V</t>
        </is>
      </c>
    </row>
    <row r="474">
      <c r="A474" s="73" t="inlineStr">
        <is>
          <t>101051-3</t>
        </is>
      </c>
      <c r="B474" t="inlineStr">
        <is>
          <t>CORDOBA HELADERIAS S.A.S.</t>
        </is>
      </c>
    </row>
    <row r="475">
      <c r="A475" s="73" t="inlineStr">
        <is>
          <t>100676-2</t>
        </is>
      </c>
      <c r="B475" t="inlineStr">
        <is>
          <t>ICE MEN S.R.L.</t>
        </is>
      </c>
    </row>
    <row r="476">
      <c r="A476" s="73" t="inlineStr">
        <is>
          <t>100752-2</t>
        </is>
      </c>
      <c r="B476" t="inlineStr">
        <is>
          <t>HELBARC S.R.L.</t>
        </is>
      </c>
    </row>
    <row r="477">
      <c r="A477" s="74" t="n">
        <v>100222</v>
      </c>
      <c r="B477" t="inlineStr">
        <is>
          <t>MONTEVERDE, GONZALO RODOLFO</t>
        </is>
      </c>
    </row>
    <row r="478">
      <c r="A478" s="73" t="inlineStr">
        <is>
          <t>100618-1</t>
        </is>
      </c>
      <c r="B478" t="inlineStr">
        <is>
          <t>MEATMAX S.R.L.</t>
        </is>
      </c>
    </row>
    <row r="479">
      <c r="A479" s="73" t="inlineStr">
        <is>
          <t>100771-2</t>
        </is>
      </c>
      <c r="B479" t="inlineStr">
        <is>
          <t>CREMOSO S.R.L.</t>
        </is>
      </c>
    </row>
    <row r="480">
      <c r="A480" s="73" t="inlineStr">
        <is>
          <t>101302-2</t>
        </is>
      </c>
      <c r="B480" t="inlineStr">
        <is>
          <t>MABAIG S.A.S.</t>
        </is>
      </c>
    </row>
    <row r="481">
      <c r="A481" s="74" t="n">
        <v>100514</v>
      </c>
      <c r="B481" t="inlineStr">
        <is>
          <t>OLIVIER, MARIA FERNANDA</t>
        </is>
      </c>
    </row>
    <row r="482">
      <c r="A482" s="73" t="inlineStr">
        <is>
          <t>100107-2</t>
        </is>
      </c>
      <c r="B482" t="inlineStr">
        <is>
          <t>SANCHEZ, JULIO HERNAN</t>
        </is>
      </c>
    </row>
    <row r="483">
      <c r="A483" s="73" t="inlineStr">
        <is>
          <t>100374-2</t>
        </is>
      </c>
      <c r="B483" t="inlineStr">
        <is>
          <t>FERNANDEZ, ANA MARIA ELENA</t>
        </is>
      </c>
    </row>
    <row r="484">
      <c r="A484" s="74" t="n">
        <v>101128</v>
      </c>
      <c r="B484" t="inlineStr">
        <is>
          <t>SUAREZ, LEONELA ANGELICA</t>
        </is>
      </c>
    </row>
    <row r="485">
      <c r="A485" s="73" t="inlineStr">
        <is>
          <t>101129-1</t>
        </is>
      </c>
      <c r="B485" t="inlineStr">
        <is>
          <t>URQUIZA MAURO NICOLAS</t>
        </is>
      </c>
    </row>
    <row r="486">
      <c r="A486" s="73" t="inlineStr">
        <is>
          <t>100725-1</t>
        </is>
      </c>
      <c r="B486" t="inlineStr">
        <is>
          <t>ROECHE S.R.L.</t>
        </is>
      </c>
    </row>
    <row r="487">
      <c r="A487" s="74" t="n">
        <v>100602</v>
      </c>
      <c r="B487" t="inlineStr">
        <is>
          <t>ULTRACONGELADOS DEL NOA S.R.L.</t>
        </is>
      </c>
    </row>
    <row r="488">
      <c r="A488" s="73" t="inlineStr">
        <is>
          <t>100597-1</t>
        </is>
      </c>
      <c r="B488" t="inlineStr">
        <is>
          <t>LE GLACIER SRL</t>
        </is>
      </c>
    </row>
    <row r="489">
      <c r="A489" s="73" t="inlineStr">
        <is>
          <t>100597-2</t>
        </is>
      </c>
      <c r="B489" t="inlineStr">
        <is>
          <t>LE GLACIER SRL</t>
        </is>
      </c>
    </row>
    <row r="490">
      <c r="A490" s="74" t="n">
        <v>101175</v>
      </c>
      <c r="B490" t="inlineStr">
        <is>
          <t>ASESORIA EN INFRAESTRUCTURA</t>
        </is>
      </c>
    </row>
    <row r="491">
      <c r="A491" s="74" t="n">
        <v>100517</v>
      </c>
      <c r="B491" t="inlineStr">
        <is>
          <t>CHAVEZ, CLAUDIA ROXANA</t>
        </is>
      </c>
    </row>
    <row r="492">
      <c r="A492" s="74" t="n">
        <v>100697</v>
      </c>
      <c r="B492" t="inlineStr">
        <is>
          <t>OCTI S.R.L.</t>
        </is>
      </c>
    </row>
    <row r="493">
      <c r="A493" s="73" t="inlineStr">
        <is>
          <t>100763-2</t>
        </is>
      </c>
      <c r="B493" t="inlineStr">
        <is>
          <t>ANA HUERGO Y OSVALDO RODRIGUEZ</t>
        </is>
      </c>
    </row>
    <row r="494">
      <c r="A494" s="73" t="inlineStr">
        <is>
          <t>100609-1</t>
        </is>
      </c>
      <c r="B494" t="inlineStr">
        <is>
          <t>SEREMA S.R.L.</t>
        </is>
      </c>
    </row>
    <row r="495">
      <c r="A495" s="74" t="n">
        <v>100187</v>
      </c>
      <c r="B495" t="inlineStr">
        <is>
          <t>AIME, FERNANDO ARIEL</t>
        </is>
      </c>
    </row>
    <row r="496">
      <c r="A496" s="73" t="inlineStr">
        <is>
          <t>100594-13</t>
        </is>
      </c>
      <c r="B496" t="inlineStr">
        <is>
          <t>J.A.V.R.I. S.R.L.</t>
        </is>
      </c>
    </row>
    <row r="497">
      <c r="A497" s="74" t="n">
        <v>100623</v>
      </c>
      <c r="B497" t="inlineStr">
        <is>
          <t>H Y G S.R.L.</t>
        </is>
      </c>
    </row>
    <row r="498">
      <c r="A498" s="74" t="n">
        <v>100248</v>
      </c>
      <c r="B498" t="inlineStr">
        <is>
          <t>GONZALEZ, CRISTIAN MIGUEL</t>
        </is>
      </c>
    </row>
    <row r="499">
      <c r="A499" s="73" t="inlineStr">
        <is>
          <t>100628-11</t>
        </is>
      </c>
      <c r="B499" t="inlineStr">
        <is>
          <t>FRANCOR S.R.L.</t>
        </is>
      </c>
    </row>
    <row r="500">
      <c r="A500" s="74" t="n">
        <v>101347</v>
      </c>
      <c r="B500" t="inlineStr">
        <is>
          <t>LUCERO LAURA CARMEN</t>
        </is>
      </c>
    </row>
    <row r="501">
      <c r="A501" s="74" t="n">
        <v>100416</v>
      </c>
      <c r="B501" t="inlineStr">
        <is>
          <t>CALABRIN, MIRTA ISABEL</t>
        </is>
      </c>
    </row>
    <row r="502">
      <c r="A502" s="73" t="inlineStr">
        <is>
          <t>100198-3</t>
        </is>
      </c>
      <c r="B502" t="inlineStr">
        <is>
          <t>LESCANO, JOSE AUGUSTO</t>
        </is>
      </c>
    </row>
    <row r="503">
      <c r="A503" s="73" t="inlineStr">
        <is>
          <t>100069-3</t>
        </is>
      </c>
      <c r="B503" t="inlineStr">
        <is>
          <t>DE SIMONE PABLO</t>
        </is>
      </c>
    </row>
    <row r="504">
      <c r="A504" s="73" t="inlineStr">
        <is>
          <t>100069-4</t>
        </is>
      </c>
      <c r="B504" t="inlineStr">
        <is>
          <t>DE SIMONE PABLO</t>
        </is>
      </c>
    </row>
    <row r="505">
      <c r="A505" s="73" t="inlineStr">
        <is>
          <t>100599-2</t>
        </is>
      </c>
      <c r="B505" t="inlineStr">
        <is>
          <t>BIZMAL SRL</t>
        </is>
      </c>
    </row>
    <row r="506">
      <c r="A506" s="74" t="n">
        <v>100520</v>
      </c>
      <c r="B506" t="inlineStr">
        <is>
          <t>LAZARO, CLIDE MARIEL</t>
        </is>
      </c>
    </row>
    <row r="507">
      <c r="A507" s="74" t="n">
        <v>101023</v>
      </c>
      <c r="B507" t="inlineStr">
        <is>
          <t>IMPERIO HELADOS S.A.S.</t>
        </is>
      </c>
    </row>
    <row r="508">
      <c r="A508" s="74" t="n">
        <v>100114</v>
      </c>
      <c r="B508" t="inlineStr">
        <is>
          <t>BERNASCONI, MARIO ARIEL</t>
        </is>
      </c>
    </row>
    <row r="509">
      <c r="A509" s="73" t="inlineStr">
        <is>
          <t>100674-1</t>
        </is>
      </c>
      <c r="B509" t="inlineStr">
        <is>
          <t>POSITIVA S.R.L.</t>
        </is>
      </c>
    </row>
    <row r="510">
      <c r="A510" s="73" t="inlineStr">
        <is>
          <t>100703-2</t>
        </is>
      </c>
      <c r="B510" t="inlineStr">
        <is>
          <t>CHARMON S.R.L.</t>
        </is>
      </c>
    </row>
    <row r="511">
      <c r="A511" s="73" t="inlineStr">
        <is>
          <t>100402-1</t>
        </is>
      </c>
      <c r="B511" t="inlineStr">
        <is>
          <t>PICCHIO, ALEJANDRA VALENTINA</t>
        </is>
      </c>
    </row>
    <row r="512">
      <c r="A512" s="73" t="inlineStr">
        <is>
          <t>100414-1</t>
        </is>
      </c>
      <c r="B512" t="inlineStr">
        <is>
          <t>CANAVOSIO, FABIANA A.</t>
        </is>
      </c>
    </row>
    <row r="513">
      <c r="A513" s="74" t="n">
        <v>100927</v>
      </c>
      <c r="B513" t="inlineStr">
        <is>
          <t>ANSER S.R.L.</t>
        </is>
      </c>
    </row>
    <row r="514">
      <c r="A514" s="74" t="n">
        <v>100607</v>
      </c>
      <c r="B514" t="inlineStr">
        <is>
          <t>3MAKA TANDIL S.R.L.</t>
        </is>
      </c>
    </row>
    <row r="515">
      <c r="A515" s="74" t="n">
        <v>100999</v>
      </c>
      <c r="B515" t="inlineStr">
        <is>
          <t>RUIZ, MARIA LINA</t>
        </is>
      </c>
    </row>
    <row r="516">
      <c r="A516" s="74" t="n">
        <v>100702</v>
      </c>
      <c r="B516" t="inlineStr">
        <is>
          <t>CHILUBA S.R.L.</t>
        </is>
      </c>
    </row>
    <row r="517">
      <c r="A517" s="73" t="inlineStr">
        <is>
          <t>100952-2</t>
        </is>
      </c>
      <c r="B517" t="inlineStr">
        <is>
          <t>BUFFA, DANA DELENE</t>
        </is>
      </c>
    </row>
    <row r="518">
      <c r="A518" s="74" t="n">
        <v>100380</v>
      </c>
      <c r="B518" t="inlineStr">
        <is>
          <t>CEVERIO LILIANA LUCIA</t>
        </is>
      </c>
    </row>
    <row r="519">
      <c r="A519" s="73" t="inlineStr">
        <is>
          <t>100626-2</t>
        </is>
      </c>
      <c r="B519" t="inlineStr">
        <is>
          <t>LOBIAN S.R.L.</t>
        </is>
      </c>
    </row>
    <row r="520">
      <c r="A520" s="73" t="inlineStr">
        <is>
          <t>100263-1</t>
        </is>
      </c>
      <c r="B520" t="inlineStr">
        <is>
          <t>PEREZ, LEONARDO MIGUEL</t>
        </is>
      </c>
    </row>
    <row r="521">
      <c r="A521" s="74" t="n">
        <v>100477</v>
      </c>
      <c r="B521" t="inlineStr">
        <is>
          <t>HACHEN, ELISABET SOLEDAD</t>
        </is>
      </c>
    </row>
    <row r="522">
      <c r="A522" s="74" t="n">
        <v>100652</v>
      </c>
      <c r="B522" t="inlineStr">
        <is>
          <t>CABICON S.R.L.</t>
        </is>
      </c>
    </row>
    <row r="523">
      <c r="A523" s="74" t="n">
        <v>100438</v>
      </c>
      <c r="B523" t="inlineStr">
        <is>
          <t>LOPEZ, RAMONA CRISTINA</t>
        </is>
      </c>
    </row>
    <row r="524">
      <c r="A524" s="74" t="n">
        <v>100895</v>
      </c>
      <c r="B524" t="inlineStr">
        <is>
          <t>BORBA ARGENTINA S.R.L.</t>
        </is>
      </c>
    </row>
    <row r="525">
      <c r="A525" s="73" t="inlineStr">
        <is>
          <t>101119-1</t>
        </is>
      </c>
      <c r="B525" t="inlineStr">
        <is>
          <t>LEZAMA RODRIGO EZEQUIEL</t>
        </is>
      </c>
    </row>
    <row r="526">
      <c r="A526" s="74" t="n">
        <v>100339</v>
      </c>
      <c r="B526" t="inlineStr">
        <is>
          <t>RODRIGUEZ, JULIAN</t>
        </is>
      </c>
    </row>
    <row r="527">
      <c r="A527" s="74" t="n">
        <v>100671</v>
      </c>
      <c r="B527" t="inlineStr">
        <is>
          <t>MARAGATO S.R.L.</t>
        </is>
      </c>
    </row>
    <row r="528">
      <c r="A528" s="73" t="inlineStr">
        <is>
          <t>101031-3</t>
        </is>
      </c>
      <c r="B528" t="inlineStr">
        <is>
          <t>CRIKO S.R.L.</t>
        </is>
      </c>
    </row>
    <row r="529">
      <c r="A529" s="74" t="n">
        <v>101451</v>
      </c>
      <c r="B529" t="inlineStr">
        <is>
          <t>NODI S.A.S.</t>
        </is>
      </c>
    </row>
    <row r="530">
      <c r="A530" s="74" t="n">
        <v>100495</v>
      </c>
      <c r="B530" t="inlineStr">
        <is>
          <t>BERTINO, MARÍA PAULA</t>
        </is>
      </c>
    </row>
    <row r="531">
      <c r="A531" s="74" t="n">
        <v>100793</v>
      </c>
      <c r="B531" t="inlineStr">
        <is>
          <t>BELLONI, KARINA VANESA</t>
        </is>
      </c>
    </row>
    <row r="532">
      <c r="A532" s="74" t="n">
        <v>100469</v>
      </c>
      <c r="B532" t="inlineStr">
        <is>
          <t>VALLEJOS, STELLA MARIS</t>
        </is>
      </c>
    </row>
    <row r="533">
      <c r="A533" s="73" t="inlineStr">
        <is>
          <t>100640-4</t>
        </is>
      </c>
      <c r="B533" t="inlineStr">
        <is>
          <t>BASE AZUL S.R.L.</t>
        </is>
      </c>
    </row>
    <row r="534">
      <c r="A534" s="73" t="inlineStr">
        <is>
          <t>100640-3</t>
        </is>
      </c>
      <c r="B534" t="inlineStr">
        <is>
          <t>BASE AZUL S.R.L.</t>
        </is>
      </c>
    </row>
    <row r="535">
      <c r="A535" s="74" t="n">
        <v>100125</v>
      </c>
      <c r="B535" t="inlineStr">
        <is>
          <t>RUIZ JORGE ALEJANDRO</t>
        </is>
      </c>
    </row>
    <row r="536">
      <c r="A536" s="73" t="inlineStr">
        <is>
          <t>100661-2</t>
        </is>
      </c>
      <c r="B536" t="inlineStr">
        <is>
          <t>ANFE NORTE S.R.L.</t>
        </is>
      </c>
    </row>
    <row r="537">
      <c r="A537" s="73" t="inlineStr">
        <is>
          <t>100645-4</t>
        </is>
      </c>
      <c r="B537" t="inlineStr">
        <is>
          <t>CORRIENTES HELADAS S.R.L.</t>
        </is>
      </c>
    </row>
    <row r="538">
      <c r="A538" s="73" t="inlineStr">
        <is>
          <t>100595-4</t>
        </is>
      </c>
      <c r="B538" t="inlineStr">
        <is>
          <t>ABUELA ESPERANZA S.R.L.</t>
        </is>
      </c>
    </row>
    <row r="539">
      <c r="A539" s="74" t="n">
        <v>100340</v>
      </c>
      <c r="B539" t="inlineStr">
        <is>
          <t>DAGROSSA, JOSE MARIA</t>
        </is>
      </c>
    </row>
    <row r="540">
      <c r="A540" s="74" t="n">
        <v>100005</v>
      </c>
      <c r="B540" t="inlineStr">
        <is>
          <t>STECHINA, JORGE JOAQUIN</t>
        </is>
      </c>
    </row>
    <row r="541">
      <c r="A541" s="73" t="inlineStr">
        <is>
          <t>100628-8</t>
        </is>
      </c>
      <c r="B541" t="inlineStr">
        <is>
          <t>FRANCOR S.R.L.</t>
        </is>
      </c>
    </row>
    <row r="542">
      <c r="A542" s="74" t="n">
        <v>101117</v>
      </c>
      <c r="B542" t="inlineStr">
        <is>
          <t>LISOWIEC PAULO ANDRES</t>
        </is>
      </c>
    </row>
    <row r="543">
      <c r="A543" s="73" t="inlineStr">
        <is>
          <t>100374-1</t>
        </is>
      </c>
      <c r="B543" t="inlineStr">
        <is>
          <t>FERNANDEZ, ANA MARIA ELENA</t>
        </is>
      </c>
    </row>
    <row r="544">
      <c r="A544" s="73" t="inlineStr">
        <is>
          <t>101110-1</t>
        </is>
      </c>
      <c r="B544" t="inlineStr">
        <is>
          <t>ROAN S.R.L</t>
        </is>
      </c>
    </row>
    <row r="545">
      <c r="A545" s="74" t="n">
        <v>100901</v>
      </c>
      <c r="B545" t="inlineStr">
        <is>
          <t>FATARAIN S.A.</t>
        </is>
      </c>
    </row>
    <row r="546">
      <c r="A546" s="74" t="n">
        <v>101072</v>
      </c>
      <c r="B546" t="inlineStr">
        <is>
          <t>FERRARI, MARCELO FERNANDO</t>
        </is>
      </c>
    </row>
    <row r="547">
      <c r="A547" s="74" t="n">
        <v>101179</v>
      </c>
      <c r="B547" t="inlineStr">
        <is>
          <t>COLONBERO TIZIANA PATRICIA</t>
        </is>
      </c>
    </row>
    <row r="548">
      <c r="A548" s="73" t="inlineStr">
        <is>
          <t>100460-2</t>
        </is>
      </c>
      <c r="B548" t="inlineStr">
        <is>
          <t>COCCO, NORMA ANDREA PIERINA</t>
        </is>
      </c>
    </row>
    <row r="549">
      <c r="A549" s="74" t="n">
        <v>100646</v>
      </c>
      <c r="B549" t="inlineStr">
        <is>
          <t>ADRIMAR S.R.L.</t>
        </is>
      </c>
    </row>
    <row r="550">
      <c r="A550" s="73" t="inlineStr">
        <is>
          <t>100646-1</t>
        </is>
      </c>
      <c r="B550" t="inlineStr">
        <is>
          <t>ADRIMAR S.R.L.</t>
        </is>
      </c>
    </row>
    <row r="551">
      <c r="A551" s="73" t="inlineStr">
        <is>
          <t>100223-3</t>
        </is>
      </c>
      <c r="B551" t="inlineStr">
        <is>
          <t>CASAS ARREGUI MARCOS FRANCISCO</t>
        </is>
      </c>
    </row>
    <row r="552">
      <c r="A552" s="74" t="n">
        <v>100202</v>
      </c>
      <c r="B552" t="inlineStr">
        <is>
          <t>SCHUVIK, MAURO ANDRÉS</t>
        </is>
      </c>
    </row>
    <row r="553">
      <c r="A553" s="73" t="inlineStr">
        <is>
          <t>100688-5</t>
        </is>
      </c>
      <c r="B553" t="inlineStr">
        <is>
          <t>DITTO S.R.L.</t>
        </is>
      </c>
    </row>
    <row r="554">
      <c r="A554" s="73" t="inlineStr">
        <is>
          <t>101105-1</t>
        </is>
      </c>
      <c r="B554" t="inlineStr">
        <is>
          <t>LOPEZ CASABELLA MARIA MERCEDES</t>
        </is>
      </c>
    </row>
    <row r="555">
      <c r="A555" s="74" t="n">
        <v>101002</v>
      </c>
      <c r="B555" t="inlineStr">
        <is>
          <t>LIGORRIA, BEDYS DEL VALLE</t>
        </is>
      </c>
    </row>
    <row r="556">
      <c r="A556" s="74" t="n">
        <v>100562</v>
      </c>
      <c r="B556" t="inlineStr">
        <is>
          <t>MARTINEZ, JORGELINA DENISE</t>
        </is>
      </c>
    </row>
    <row r="557">
      <c r="A557" s="74" t="n">
        <v>100726</v>
      </c>
      <c r="B557" t="inlineStr">
        <is>
          <t>REMALUS S.R.L.</t>
        </is>
      </c>
    </row>
    <row r="558">
      <c r="A558" s="74" t="n">
        <v>100066</v>
      </c>
      <c r="B558" t="inlineStr">
        <is>
          <t>LEDESMA, GUSTAVO FERNANDO</t>
        </is>
      </c>
    </row>
    <row r="559">
      <c r="A559" s="74" t="n">
        <v>100185</v>
      </c>
      <c r="B559" t="inlineStr">
        <is>
          <t>GALVAN OSCAR PABLO MATIAS</t>
        </is>
      </c>
    </row>
    <row r="560">
      <c r="A560" s="74" t="n">
        <v>100648</v>
      </c>
      <c r="B560" t="inlineStr">
        <is>
          <t>MAREV S.R.L.</t>
        </is>
      </c>
    </row>
    <row r="561">
      <c r="A561" s="74" t="n">
        <v>100352</v>
      </c>
      <c r="B561" t="inlineStr">
        <is>
          <t>BROGIN MARIANO</t>
        </is>
      </c>
    </row>
    <row r="562">
      <c r="A562" s="74" t="n">
        <v>101432</v>
      </c>
      <c r="B562" t="inlineStr">
        <is>
          <t>GYP CASS MDQ S.R.L.</t>
        </is>
      </c>
    </row>
    <row r="563">
      <c r="A563" s="74" t="n">
        <v>100605</v>
      </c>
      <c r="B563" t="inlineStr">
        <is>
          <t>ON WHEELS SOLUTIONS SRL</t>
        </is>
      </c>
    </row>
    <row r="564">
      <c r="A564" s="74" t="n">
        <v>101020</v>
      </c>
      <c r="B564" t="inlineStr">
        <is>
          <t>BESU09 S.A.</t>
        </is>
      </c>
    </row>
    <row r="565">
      <c r="A565" s="74" t="n">
        <v>100643</v>
      </c>
      <c r="B565" t="inlineStr">
        <is>
          <t>MORANGE S.R.L.</t>
        </is>
      </c>
    </row>
    <row r="566">
      <c r="A566" s="74" t="n">
        <v>101118</v>
      </c>
      <c r="B566" t="inlineStr">
        <is>
          <t>D ALLEVA SOFIA BELEN</t>
        </is>
      </c>
    </row>
    <row r="567">
      <c r="A567" s="74" t="n">
        <v>100478</v>
      </c>
      <c r="B567" t="inlineStr">
        <is>
          <t>QUERCIA, ELIANA VICTORIA</t>
        </is>
      </c>
    </row>
    <row r="568">
      <c r="A568" s="74" t="n">
        <v>101183</v>
      </c>
      <c r="B568" t="inlineStr">
        <is>
          <t>SONGOKU S.R.L</t>
        </is>
      </c>
    </row>
    <row r="569">
      <c r="A569" s="73" t="inlineStr">
        <is>
          <t>100600-1</t>
        </is>
      </c>
      <c r="B569" t="inlineStr">
        <is>
          <t>SFS S.H. DE URQUIZA GUILLERMO</t>
        </is>
      </c>
    </row>
    <row r="570">
      <c r="A570" s="74" t="n">
        <v>101270</v>
      </c>
      <c r="B570" t="inlineStr">
        <is>
          <t>DE PABLO GORDILLO MAURO MATIAS</t>
        </is>
      </c>
    </row>
    <row r="571">
      <c r="A571" s="74" t="n">
        <v>100317</v>
      </c>
      <c r="B571" t="inlineStr">
        <is>
          <t>CHICONI, DAMIAN HECTOR</t>
        </is>
      </c>
    </row>
    <row r="572">
      <c r="A572" s="74" t="n">
        <v>100009</v>
      </c>
      <c r="B572" t="inlineStr">
        <is>
          <t>MURCIA, LUIS EDUARDO</t>
        </is>
      </c>
    </row>
    <row r="573">
      <c r="A573" s="74" t="n">
        <v>100301</v>
      </c>
      <c r="B573" t="inlineStr">
        <is>
          <t>SODANO, ROGER GABRIEL</t>
        </is>
      </c>
    </row>
    <row r="574">
      <c r="A574" s="73" t="inlineStr">
        <is>
          <t>101131-1</t>
        </is>
      </c>
      <c r="B574" t="inlineStr">
        <is>
          <t>FERMEDIN S.A.S</t>
        </is>
      </c>
    </row>
    <row r="575">
      <c r="A575" s="74" t="n">
        <v>100178</v>
      </c>
      <c r="B575" t="inlineStr">
        <is>
          <t>LEBRON, NICOLAS DARIO</t>
        </is>
      </c>
    </row>
    <row r="576">
      <c r="A576" s="74" t="n">
        <v>100756</v>
      </c>
      <c r="B576" t="inlineStr">
        <is>
          <t>MM CONGELADOS S.R.L.</t>
        </is>
      </c>
    </row>
    <row r="577">
      <c r="A577" s="74" t="n">
        <v>101209</v>
      </c>
      <c r="B577" t="inlineStr">
        <is>
          <t>ZONA HELADA S.R.L.</t>
        </is>
      </c>
    </row>
    <row r="578">
      <c r="A578" s="74" t="n">
        <v>101025</v>
      </c>
      <c r="B578" t="inlineStr">
        <is>
          <t>MELNYKA S.A.</t>
        </is>
      </c>
    </row>
    <row r="579">
      <c r="A579" s="74" t="n">
        <v>100577</v>
      </c>
      <c r="B579" t="inlineStr">
        <is>
          <t>ZITTA, TAMARA NAIR</t>
        </is>
      </c>
    </row>
    <row r="580">
      <c r="A580" s="74" t="n">
        <v>100649</v>
      </c>
      <c r="B580" t="inlineStr">
        <is>
          <t>FRIOLOGROS S.R.L.</t>
        </is>
      </c>
    </row>
    <row r="581">
      <c r="A581" s="73" t="inlineStr">
        <is>
          <t>100612-2</t>
        </is>
      </c>
      <c r="B581" t="inlineStr">
        <is>
          <t>DE PABLOS S.R.L.</t>
        </is>
      </c>
    </row>
    <row r="582">
      <c r="A582" s="74" t="n">
        <v>100481</v>
      </c>
      <c r="B582" t="inlineStr">
        <is>
          <t>ALVAREZ, ANA CAROLINA</t>
        </is>
      </c>
    </row>
    <row r="583">
      <c r="A583" s="74" t="n">
        <v>100328</v>
      </c>
      <c r="B583" t="inlineStr">
        <is>
          <t>STIVAL, EDGARDO MARTIN</t>
        </is>
      </c>
    </row>
    <row r="584">
      <c r="A584" s="74" t="n">
        <v>100483</v>
      </c>
      <c r="B584" t="inlineStr">
        <is>
          <t>PERALTA,NOELIA SOLEDAD</t>
        </is>
      </c>
    </row>
    <row r="585">
      <c r="A585" s="73" t="inlineStr">
        <is>
          <t>100334-1</t>
        </is>
      </c>
      <c r="B585" t="inlineStr">
        <is>
          <t>LITVAK, GASTON EZEQUIEL</t>
        </is>
      </c>
    </row>
    <row r="586">
      <c r="A586" s="74" t="n">
        <v>100779</v>
      </c>
      <c r="B586" t="inlineStr">
        <is>
          <t>BENCAND S.R.L.</t>
        </is>
      </c>
    </row>
    <row r="587">
      <c r="A587" s="74" t="n">
        <v>100997</v>
      </c>
      <c r="B587" t="inlineStr">
        <is>
          <t>VISCONTI, AGUSTIN</t>
        </is>
      </c>
    </row>
    <row r="588">
      <c r="A588" s="74" t="n">
        <v>101407</v>
      </c>
      <c r="B588" t="inlineStr">
        <is>
          <t>ROSELLA CONRADO</t>
        </is>
      </c>
    </row>
    <row r="589">
      <c r="A589" s="74" t="n">
        <v>100513</v>
      </c>
      <c r="B589" t="inlineStr">
        <is>
          <t>BIBBO, LUCIANA</t>
        </is>
      </c>
    </row>
    <row r="590">
      <c r="A590" s="73" t="inlineStr">
        <is>
          <t>100425-1</t>
        </is>
      </c>
      <c r="B590" t="inlineStr">
        <is>
          <t>ZABALA, ALEJANDRA</t>
        </is>
      </c>
    </row>
    <row r="591">
      <c r="A591" s="73" t="inlineStr">
        <is>
          <t>100610-5</t>
        </is>
      </c>
      <c r="B591" t="inlineStr">
        <is>
          <t>INTERCOL S.A.</t>
        </is>
      </c>
    </row>
    <row r="592">
      <c r="A592" s="73" t="inlineStr">
        <is>
          <t>100628-1</t>
        </is>
      </c>
      <c r="B592" t="inlineStr">
        <is>
          <t>FRANCOR S.R.L.</t>
        </is>
      </c>
    </row>
    <row r="593">
      <c r="A593" s="73" t="inlineStr">
        <is>
          <t>101340-2</t>
        </is>
      </c>
      <c r="B593" t="inlineStr">
        <is>
          <t>BLEMA S.A.S.</t>
        </is>
      </c>
    </row>
    <row r="594">
      <c r="A594" s="74" t="n">
        <v>100120</v>
      </c>
      <c r="B594" t="inlineStr">
        <is>
          <t>CHENA, LUIS MARCELO</t>
        </is>
      </c>
    </row>
    <row r="595">
      <c r="A595" s="73" t="inlineStr">
        <is>
          <t>100312-1</t>
        </is>
      </c>
      <c r="B595" t="inlineStr">
        <is>
          <t>CAROSIO, LORENA IVONE</t>
        </is>
      </c>
    </row>
    <row r="596">
      <c r="A596" s="74" t="n">
        <v>100371</v>
      </c>
      <c r="B596" t="inlineStr">
        <is>
          <t>FARIZ, ERMINDA NORI</t>
        </is>
      </c>
    </row>
    <row r="597">
      <c r="A597" s="73" t="inlineStr">
        <is>
          <t>100007-1</t>
        </is>
      </c>
      <c r="B597" t="inlineStr">
        <is>
          <t>DEGLI, JORGE HERMENEGILDO</t>
        </is>
      </c>
    </row>
    <row r="598">
      <c r="A598" s="73" t="inlineStr">
        <is>
          <t>101210-1</t>
        </is>
      </c>
      <c r="B598" t="inlineStr">
        <is>
          <t>PROYECTOS DORADOS S.A.S.</t>
        </is>
      </c>
    </row>
    <row r="599">
      <c r="A599" s="73" t="inlineStr">
        <is>
          <t>100710-1</t>
        </is>
      </c>
      <c r="B599" t="inlineStr">
        <is>
          <t>SABORES DULCES S.R.L.</t>
        </is>
      </c>
    </row>
    <row r="600">
      <c r="A600" s="74" t="n">
        <v>100019</v>
      </c>
      <c r="B600" t="inlineStr">
        <is>
          <t>MONTES DE OCA, VICTOR ALBERTO</t>
        </is>
      </c>
    </row>
    <row r="601">
      <c r="A601" s="73" t="inlineStr">
        <is>
          <t>100371-1</t>
        </is>
      </c>
      <c r="B601" t="inlineStr">
        <is>
          <t>FARIZ, ERMINDA NORI</t>
        </is>
      </c>
    </row>
    <row r="602">
      <c r="A602" s="73" t="inlineStr">
        <is>
          <t>100731-1</t>
        </is>
      </c>
      <c r="B602" t="inlineStr">
        <is>
          <t>LA TOTO S.R.L.</t>
        </is>
      </c>
    </row>
    <row r="603">
      <c r="A603" s="74" t="n">
        <v>100689</v>
      </c>
      <c r="B603" t="inlineStr">
        <is>
          <t>LUCIA 2013 S.R.L.</t>
        </is>
      </c>
    </row>
    <row r="604">
      <c r="A604" s="73" t="inlineStr">
        <is>
          <t>100738-1</t>
        </is>
      </c>
      <c r="B604" t="inlineStr">
        <is>
          <t>LOS CELESTES S.R.L.</t>
        </is>
      </c>
    </row>
    <row r="605">
      <c r="A605" s="74" t="n">
        <v>100902</v>
      </c>
      <c r="B605" t="inlineStr">
        <is>
          <t>RIESCO ALVARO JULIAN</t>
        </is>
      </c>
    </row>
    <row r="606">
      <c r="A606" s="74" t="n">
        <v>100476</v>
      </c>
      <c r="B606" t="inlineStr">
        <is>
          <t>TEODOSIO, CAROLINA RUTH</t>
        </is>
      </c>
    </row>
    <row r="607">
      <c r="A607" s="74" t="n">
        <v>100975</v>
      </c>
      <c r="B607" t="inlineStr">
        <is>
          <t>MDQ DELICIOSOS MOMENTOS S.R.L.</t>
        </is>
      </c>
    </row>
    <row r="608">
      <c r="A608" s="74" t="n">
        <v>100703</v>
      </c>
      <c r="B608" t="inlineStr">
        <is>
          <t>CHARMON S.R.L.</t>
        </is>
      </c>
    </row>
    <row r="609">
      <c r="A609" s="74" t="n">
        <v>100171</v>
      </c>
      <c r="B609" t="inlineStr">
        <is>
          <t>GIL, VICTOR EMILIO</t>
        </is>
      </c>
    </row>
    <row r="610">
      <c r="A610" s="73" t="inlineStr">
        <is>
          <t>101023-2</t>
        </is>
      </c>
      <c r="B610" t="inlineStr">
        <is>
          <t>IMPERIO HELADOS S.A.S.</t>
        </is>
      </c>
    </row>
    <row r="611">
      <c r="A611" s="73" t="inlineStr">
        <is>
          <t>101031-1</t>
        </is>
      </c>
      <c r="B611" t="inlineStr">
        <is>
          <t>CRIKO S.R.L.</t>
        </is>
      </c>
    </row>
    <row r="612">
      <c r="A612" s="74" t="n">
        <v>101189</v>
      </c>
      <c r="B612" t="inlineStr">
        <is>
          <t>FREEZAR SRL</t>
        </is>
      </c>
    </row>
    <row r="613">
      <c r="A613" s="74" t="n">
        <v>100737</v>
      </c>
      <c r="B613" t="inlineStr">
        <is>
          <t>L &amp; A BETEL S.A. (En Formación</t>
        </is>
      </c>
    </row>
    <row r="614">
      <c r="A614" s="74" t="n">
        <v>101369</v>
      </c>
      <c r="B614" t="inlineStr">
        <is>
          <t>GODINO ALEJANDRO LUIS</t>
        </is>
      </c>
    </row>
    <row r="615">
      <c r="A615" s="74" t="n">
        <v>100570</v>
      </c>
      <c r="B615" t="inlineStr">
        <is>
          <t>FIANCHINI, MARIA VICTORIA</t>
        </is>
      </c>
    </row>
    <row r="616">
      <c r="A616" s="74" t="n">
        <v>100786</v>
      </c>
      <c r="B616" t="inlineStr">
        <is>
          <t>PETZ, GUILLERMO FEDERICO</t>
        </is>
      </c>
    </row>
    <row r="617">
      <c r="A617" s="74" t="n">
        <v>100110</v>
      </c>
      <c r="B617" t="inlineStr">
        <is>
          <t>PEREYRA, SEBASTIAN EDUARDO</t>
        </is>
      </c>
    </row>
    <row r="618">
      <c r="A618" s="74" t="n">
        <v>101004</v>
      </c>
      <c r="B618" t="inlineStr">
        <is>
          <t>ROMERO, VICTORIA</t>
        </is>
      </c>
    </row>
    <row r="619">
      <c r="A619" s="73" t="inlineStr">
        <is>
          <t>100109-3</t>
        </is>
      </c>
      <c r="B619" t="inlineStr">
        <is>
          <t>SUAREZ, MARIANO CARLOS</t>
        </is>
      </c>
    </row>
    <row r="620">
      <c r="A620" s="74" t="n">
        <v>101056</v>
      </c>
      <c r="B620" t="inlineStr">
        <is>
          <t>ROSAS, ADRIANA BEATRIZ</t>
        </is>
      </c>
    </row>
    <row r="621">
      <c r="A621" s="74" t="n">
        <v>100064</v>
      </c>
      <c r="B621" t="inlineStr">
        <is>
          <t>DEL GRECCO, HERNAN ADOLFO</t>
        </is>
      </c>
    </row>
    <row r="622">
      <c r="A622" s="74" t="n">
        <v>101098</v>
      </c>
      <c r="B622" t="inlineStr">
        <is>
          <t>RUIZ, MARIA ALEJANDRA</t>
        </is>
      </c>
    </row>
    <row r="623">
      <c r="A623" s="73" t="inlineStr">
        <is>
          <t>100185-1</t>
        </is>
      </c>
      <c r="B623" t="inlineStr">
        <is>
          <t>GALVAN OSCAR PABLO MATIAS</t>
        </is>
      </c>
    </row>
    <row r="624">
      <c r="A624" s="73" t="inlineStr">
        <is>
          <t>100383-2</t>
        </is>
      </c>
      <c r="B624" t="inlineStr">
        <is>
          <t>VILLEGAS, SUSANA ELIZABETH</t>
        </is>
      </c>
    </row>
    <row r="625">
      <c r="A625" s="73" t="inlineStr">
        <is>
          <t>100383-3</t>
        </is>
      </c>
      <c r="B625" t="inlineStr">
        <is>
          <t>VILLEGAS, SUSANA ELIZABETH</t>
        </is>
      </c>
    </row>
    <row r="626">
      <c r="A626" s="73" t="inlineStr">
        <is>
          <t>100722-1</t>
        </is>
      </c>
      <c r="B626" t="inlineStr">
        <is>
          <t>CELA SOCIEDAD ANONIMA</t>
        </is>
      </c>
    </row>
    <row r="627">
      <c r="A627" s="73" t="inlineStr">
        <is>
          <t>101321-1</t>
        </is>
      </c>
      <c r="B627" t="inlineStr">
        <is>
          <t>MATETO S.A.S.</t>
        </is>
      </c>
    </row>
    <row r="628">
      <c r="A628" s="73" t="inlineStr">
        <is>
          <t>100817-8</t>
        </is>
      </c>
      <c r="B628" t="inlineStr">
        <is>
          <t>SANEUCO S.R.L.</t>
        </is>
      </c>
    </row>
    <row r="629">
      <c r="A629" s="74" t="n">
        <v>100588</v>
      </c>
      <c r="B629" t="inlineStr">
        <is>
          <t>VICTORIO CATERING SRL</t>
        </is>
      </c>
    </row>
    <row r="630">
      <c r="A630" s="73" t="inlineStr">
        <is>
          <t>100438-4</t>
        </is>
      </c>
      <c r="B630" t="inlineStr">
        <is>
          <t>LOPEZ, RAMONA CRISTINA</t>
        </is>
      </c>
    </row>
    <row r="631">
      <c r="A631" s="74" t="n">
        <v>101044</v>
      </c>
      <c r="B631" t="inlineStr">
        <is>
          <t>PEÑARANDA, CELIA DEL MILAGRO</t>
        </is>
      </c>
    </row>
    <row r="632">
      <c r="A632" s="73" t="inlineStr">
        <is>
          <t>101084-3</t>
        </is>
      </c>
      <c r="B632" t="inlineStr">
        <is>
          <t>TWIN S.R.L.</t>
        </is>
      </c>
    </row>
    <row r="633">
      <c r="A633" s="73" t="inlineStr">
        <is>
          <t>101084-4</t>
        </is>
      </c>
      <c r="B633" t="inlineStr">
        <is>
          <t>TWIN S.R.L.</t>
        </is>
      </c>
    </row>
    <row r="634">
      <c r="A634" s="73" t="inlineStr">
        <is>
          <t>101084-5</t>
        </is>
      </c>
      <c r="B634" t="inlineStr">
        <is>
          <t>TWIN S.R.L.</t>
        </is>
      </c>
    </row>
    <row r="635">
      <c r="A635" s="74" t="n">
        <v>100686</v>
      </c>
      <c r="B635" t="inlineStr">
        <is>
          <t>FRIO EMPRENDIMIENTOS S.R.L.</t>
        </is>
      </c>
    </row>
    <row r="636">
      <c r="A636" s="74" t="n">
        <v>100308</v>
      </c>
      <c r="B636" t="inlineStr">
        <is>
          <t>CACERES, AUGUSTO MARTIN</t>
        </is>
      </c>
    </row>
    <row r="637">
      <c r="A637" s="73" t="inlineStr">
        <is>
          <t>100756-2</t>
        </is>
      </c>
      <c r="B637" t="inlineStr">
        <is>
          <t>MM CONGELADOS S.R.L.</t>
        </is>
      </c>
    </row>
    <row r="638">
      <c r="A638" s="74" t="n">
        <v>100028</v>
      </c>
      <c r="B638" t="inlineStr">
        <is>
          <t>PAZ, LUCIANO CARLOS</t>
        </is>
      </c>
    </row>
    <row r="639">
      <c r="A639" s="74" t="n">
        <v>100047</v>
      </c>
      <c r="B639" t="inlineStr">
        <is>
          <t>AZAR, PABLO ANDRES</t>
        </is>
      </c>
    </row>
    <row r="640">
      <c r="A640" s="73" t="inlineStr">
        <is>
          <t>100599-3</t>
        </is>
      </c>
      <c r="B640" t="inlineStr">
        <is>
          <t>BIZMAL SRL</t>
        </is>
      </c>
    </row>
    <row r="641">
      <c r="A641" s="74" t="n">
        <v>100122</v>
      </c>
      <c r="B641" t="inlineStr">
        <is>
          <t>CUADROS, BRANDAN LUCAS</t>
        </is>
      </c>
    </row>
    <row r="642">
      <c r="A642" s="74" t="n">
        <v>100976</v>
      </c>
      <c r="B642" t="inlineStr">
        <is>
          <t>SCHUSTER, PABLO MAXIMILIANO</t>
        </is>
      </c>
    </row>
    <row r="643">
      <c r="A643" s="73" t="inlineStr">
        <is>
          <t>100651-5</t>
        </is>
      </c>
      <c r="B643" t="inlineStr">
        <is>
          <t>VASIL S.R.L.</t>
        </is>
      </c>
    </row>
    <row r="644">
      <c r="A644" s="73" t="inlineStr">
        <is>
          <t>100628-2</t>
        </is>
      </c>
      <c r="B644" t="inlineStr">
        <is>
          <t>FRANCOR S.R.L.</t>
        </is>
      </c>
    </row>
    <row r="645">
      <c r="A645" s="74" t="n">
        <v>100004</v>
      </c>
      <c r="B645" t="inlineStr">
        <is>
          <t>SOLARES, ENRIQUE OSCAR</t>
        </is>
      </c>
    </row>
    <row r="646">
      <c r="A646" s="74" t="n">
        <v>100552</v>
      </c>
      <c r="B646" t="inlineStr">
        <is>
          <t>LACOSTE, NATALIA JUDIT</t>
        </is>
      </c>
    </row>
    <row r="647">
      <c r="A647" s="73" t="inlineStr">
        <is>
          <t>100402-2</t>
        </is>
      </c>
      <c r="B647" t="inlineStr">
        <is>
          <t>PICCHIO, ALEJANDRA VALENTINA</t>
        </is>
      </c>
    </row>
    <row r="648">
      <c r="A648" s="74" t="n">
        <v>100698</v>
      </c>
      <c r="B648" t="inlineStr">
        <is>
          <t>FLOR DE LIS S.R.L.</t>
        </is>
      </c>
    </row>
    <row r="649">
      <c r="A649" s="74" t="n">
        <v>100295</v>
      </c>
      <c r="B649" t="inlineStr">
        <is>
          <t>FRANCIONI ANA ROSA</t>
        </is>
      </c>
    </row>
    <row r="650">
      <c r="A650" s="73" t="inlineStr">
        <is>
          <t>100203-1</t>
        </is>
      </c>
      <c r="B650" t="inlineStr">
        <is>
          <t>MONTECINOS, LUCIANO SEBASTIAN</t>
        </is>
      </c>
    </row>
    <row r="651">
      <c r="A651" s="73" t="inlineStr">
        <is>
          <t>100203-2</t>
        </is>
      </c>
      <c r="B651" t="inlineStr">
        <is>
          <t>MONTECINOS, LUCIANO SEBASTIAN</t>
        </is>
      </c>
    </row>
    <row r="652">
      <c r="A652" s="73" t="inlineStr">
        <is>
          <t>100374-3</t>
        </is>
      </c>
      <c r="B652" t="inlineStr">
        <is>
          <t>FERNANDEZ, ANA MARIA ELENA</t>
        </is>
      </c>
    </row>
    <row r="653">
      <c r="A653" s="74" t="n">
        <v>101312</v>
      </c>
      <c r="B653" t="inlineStr">
        <is>
          <t>FRIO CERRILLOS S.R.L.</t>
        </is>
      </c>
    </row>
    <row r="654">
      <c r="A654" s="74" t="n">
        <v>101211</v>
      </c>
      <c r="B654" t="inlineStr">
        <is>
          <t>ROSSETTI LUCILA</t>
        </is>
      </c>
    </row>
    <row r="655">
      <c r="A655" s="73" t="inlineStr">
        <is>
          <t>100419-1</t>
        </is>
      </c>
      <c r="B655" t="inlineStr">
        <is>
          <t>ESCALANTE PAZ, MARIA FERNANDA</t>
        </is>
      </c>
    </row>
    <row r="656">
      <c r="A656" s="74" t="n">
        <v>100148</v>
      </c>
      <c r="B656" t="inlineStr">
        <is>
          <t>FANTINI, JUAN PABLO RAUL</t>
        </is>
      </c>
    </row>
    <row r="657">
      <c r="A657" s="74" t="n">
        <v>100435</v>
      </c>
      <c r="B657" t="inlineStr">
        <is>
          <t>BONEMBERG, MARIA JOSE</t>
        </is>
      </c>
    </row>
    <row r="658">
      <c r="A658" s="74" t="n">
        <v>100504</v>
      </c>
      <c r="B658" t="inlineStr">
        <is>
          <t>CHAZARRETA, MIRIAM DE LOS ANGE</t>
        </is>
      </c>
    </row>
    <row r="659">
      <c r="A659" s="74" t="n">
        <v>100349</v>
      </c>
      <c r="B659" t="inlineStr">
        <is>
          <t>SOTO, MARÍA JOSEFINA</t>
        </is>
      </c>
    </row>
    <row r="660">
      <c r="A660" s="73" t="inlineStr">
        <is>
          <t>100734-1</t>
        </is>
      </c>
      <c r="B660" t="inlineStr">
        <is>
          <t>FUSTE DE DIEGO SEBASTIAN JACQU</t>
        </is>
      </c>
    </row>
    <row r="661">
      <c r="A661" s="73" t="inlineStr">
        <is>
          <t>100762-1</t>
        </is>
      </c>
      <c r="B661" t="inlineStr">
        <is>
          <t>DITILAR S.A.</t>
        </is>
      </c>
    </row>
    <row r="662">
      <c r="A662" s="73" t="inlineStr">
        <is>
          <t>100627-1</t>
        </is>
      </c>
      <c r="B662" t="inlineStr">
        <is>
          <t>P y S S.R.L.</t>
        </is>
      </c>
    </row>
    <row r="663">
      <c r="A663" s="73" t="inlineStr">
        <is>
          <t>100607-1</t>
        </is>
      </c>
      <c r="B663" t="inlineStr">
        <is>
          <t>3MAKA TANDIL S.R.L.</t>
        </is>
      </c>
    </row>
    <row r="664">
      <c r="A664" s="73" t="inlineStr">
        <is>
          <t>100628-3</t>
        </is>
      </c>
      <c r="B664" t="inlineStr">
        <is>
          <t>FRANCOR S.R.L.</t>
        </is>
      </c>
    </row>
    <row r="665">
      <c r="A665" s="73" t="inlineStr">
        <is>
          <t>100762-3</t>
        </is>
      </c>
      <c r="B665" t="inlineStr">
        <is>
          <t>DITILAR S.A.</t>
        </is>
      </c>
    </row>
    <row r="666">
      <c r="A666" s="74" t="n">
        <v>101031</v>
      </c>
      <c r="B666" t="inlineStr">
        <is>
          <t>CRIKO S.R.L.</t>
        </is>
      </c>
    </row>
    <row r="667">
      <c r="A667" s="73" t="inlineStr">
        <is>
          <t>100757-1</t>
        </is>
      </c>
      <c r="B667" t="inlineStr">
        <is>
          <t>AXF S.R.L.</t>
        </is>
      </c>
    </row>
    <row r="668">
      <c r="A668" s="73" t="inlineStr">
        <is>
          <t>100205-1</t>
        </is>
      </c>
      <c r="B668" t="inlineStr">
        <is>
          <t>SPIES WALTER GERMAN</t>
        </is>
      </c>
    </row>
    <row r="669">
      <c r="A669" s="74" t="n">
        <v>100388</v>
      </c>
      <c r="B669" t="inlineStr">
        <is>
          <t>ROCCO, EUGENIA MARIA</t>
        </is>
      </c>
    </row>
    <row r="670">
      <c r="A670" s="73" t="inlineStr">
        <is>
          <t>100623-1</t>
        </is>
      </c>
      <c r="B670" t="inlineStr">
        <is>
          <t>H Y G S.R.L.</t>
        </is>
      </c>
    </row>
    <row r="671">
      <c r="A671" s="74" t="n">
        <v>100445</v>
      </c>
      <c r="B671" t="inlineStr">
        <is>
          <t>CABRAL, NILDA AMELIA</t>
        </is>
      </c>
    </row>
    <row r="672">
      <c r="A672" s="74" t="n">
        <v>100427</v>
      </c>
      <c r="B672" t="inlineStr">
        <is>
          <t>LAFUENTE ANDREA KARINA</t>
        </is>
      </c>
    </row>
    <row r="673">
      <c r="A673" s="74" t="n">
        <v>100952</v>
      </c>
      <c r="B673" t="inlineStr">
        <is>
          <t>BUFFA, DANA DELENE</t>
        </is>
      </c>
    </row>
    <row r="674">
      <c r="A674" s="74" t="n">
        <v>100334</v>
      </c>
      <c r="B674" t="inlineStr">
        <is>
          <t>LITVAK, GASTON EZEQUIEL</t>
        </is>
      </c>
    </row>
    <row r="675">
      <c r="A675" s="74" t="n">
        <v>100990</v>
      </c>
      <c r="B675" t="inlineStr">
        <is>
          <t>SOLER CARVAJAL, SERGIO DAVID</t>
        </is>
      </c>
    </row>
    <row r="676">
      <c r="A676" s="73" t="inlineStr">
        <is>
          <t>100125-2</t>
        </is>
      </c>
      <c r="B676" t="inlineStr">
        <is>
          <t>RUIZ JORGE ALEJANDRO</t>
        </is>
      </c>
    </row>
    <row r="677">
      <c r="A677" s="74" t="n">
        <v>100473</v>
      </c>
      <c r="B677" t="inlineStr">
        <is>
          <t>LOPEZ, HERRERO NATALIA MARIA</t>
        </is>
      </c>
    </row>
    <row r="678">
      <c r="A678" s="73" t="inlineStr">
        <is>
          <t>100766-4</t>
        </is>
      </c>
      <c r="B678" t="inlineStr">
        <is>
          <t>HELAVM S.R.L.</t>
        </is>
      </c>
    </row>
    <row r="679">
      <c r="A679" s="74" t="n">
        <v>100771</v>
      </c>
      <c r="B679" t="inlineStr">
        <is>
          <t>CREMOSO S.R.L.</t>
        </is>
      </c>
    </row>
    <row r="680">
      <c r="A680" s="74" t="n">
        <v>101442</v>
      </c>
      <c r="B680" t="inlineStr">
        <is>
          <t>DOUCESOL S.R.L.</t>
        </is>
      </c>
    </row>
    <row r="681">
      <c r="A681" s="74" t="n">
        <v>100011</v>
      </c>
      <c r="B681" t="inlineStr">
        <is>
          <t>CORREA, CARLOS RUBEN</t>
        </is>
      </c>
    </row>
    <row r="682">
      <c r="A682" s="74" t="n">
        <v>100403</v>
      </c>
      <c r="B682" t="inlineStr">
        <is>
          <t>PEREYRA, ROXANA GRISELDA</t>
        </is>
      </c>
    </row>
    <row r="683">
      <c r="A683" s="74" t="n">
        <v>100508</v>
      </c>
      <c r="B683" t="inlineStr">
        <is>
          <t>DE GIOVANETTI, ROMINA JULIETA</t>
        </is>
      </c>
    </row>
    <row r="684">
      <c r="A684" s="74" t="n">
        <v>101294</v>
      </c>
      <c r="B684" t="inlineStr">
        <is>
          <t>MANDRACCHIA MIGUEL ANGEL</t>
        </is>
      </c>
    </row>
    <row r="685">
      <c r="A685" s="74" t="n">
        <v>101106</v>
      </c>
      <c r="B685" t="inlineStr">
        <is>
          <t>GAUNA DIEGO GERMAN</t>
        </is>
      </c>
    </row>
    <row r="686">
      <c r="A686" s="73" t="inlineStr">
        <is>
          <t>100726-1</t>
        </is>
      </c>
      <c r="B686" t="inlineStr">
        <is>
          <t>REMALUS S.R.L.</t>
        </is>
      </c>
    </row>
    <row r="687">
      <c r="A687" s="73" t="inlineStr">
        <is>
          <t>100646-2</t>
        </is>
      </c>
      <c r="B687" t="inlineStr">
        <is>
          <t>ADRIMAR S.R.L.</t>
        </is>
      </c>
    </row>
    <row r="688">
      <c r="A688" s="73" t="inlineStr">
        <is>
          <t>100703-1</t>
        </is>
      </c>
      <c r="B688" t="inlineStr">
        <is>
          <t>CHARMON S.R.L.</t>
        </is>
      </c>
    </row>
    <row r="689">
      <c r="A689" s="74" t="n">
        <v>101155</v>
      </c>
      <c r="B689" t="inlineStr">
        <is>
          <t>VASSALLO SOFIA DIONISIA DEL CA</t>
        </is>
      </c>
    </row>
    <row r="690">
      <c r="A690" s="73" t="inlineStr">
        <is>
          <t>100793-1</t>
        </is>
      </c>
      <c r="B690" t="inlineStr">
        <is>
          <t>BELLONI, KARINA VANESA</t>
        </is>
      </c>
    </row>
    <row r="691">
      <c r="A691" s="74" t="n">
        <v>101194</v>
      </c>
      <c r="B691" t="inlineStr">
        <is>
          <t>MIND INSIDE MUSCLES S.R.L.</t>
        </is>
      </c>
    </row>
    <row r="692">
      <c r="A692" s="73" t="inlineStr">
        <is>
          <t>100027-1</t>
        </is>
      </c>
      <c r="B692" t="inlineStr">
        <is>
          <t>BORRAS, ABEL EDGARDO</t>
        </is>
      </c>
    </row>
    <row r="693">
      <c r="A693" s="74" t="n">
        <v>100554</v>
      </c>
      <c r="B693" t="inlineStr">
        <is>
          <t>SUAREZ, MARIA SILVANA</t>
        </is>
      </c>
    </row>
    <row r="694">
      <c r="A694" s="74" t="n">
        <v>100989</v>
      </c>
      <c r="B694" t="inlineStr">
        <is>
          <t>FROZEN FROGS S.A.</t>
        </is>
      </c>
    </row>
    <row r="695">
      <c r="A695" s="74" t="n">
        <v>100499</v>
      </c>
      <c r="B695" t="inlineStr">
        <is>
          <t>D ALLEVA, PAOLA ALEJANDRA</t>
        </is>
      </c>
    </row>
    <row r="696">
      <c r="A696" s="74" t="n">
        <v>100027</v>
      </c>
      <c r="B696" t="inlineStr">
        <is>
          <t>BORRAS, ABEL EDGARDO</t>
        </is>
      </c>
    </row>
    <row r="697">
      <c r="A697" s="73" t="inlineStr">
        <is>
          <t>100333-1</t>
        </is>
      </c>
      <c r="B697" t="inlineStr">
        <is>
          <t>BORRELL, JUAN RODRIGO</t>
        </is>
      </c>
    </row>
    <row r="698">
      <c r="A698" s="73" t="inlineStr">
        <is>
          <t>100756-1</t>
        </is>
      </c>
      <c r="B698" t="inlineStr">
        <is>
          <t>MM CONGELADOS S.R.L.</t>
        </is>
      </c>
    </row>
    <row r="699">
      <c r="A699" s="73" t="inlineStr">
        <is>
          <t>100648-1</t>
        </is>
      </c>
      <c r="B699" t="inlineStr">
        <is>
          <t>MAREV S.R.L.</t>
        </is>
      </c>
    </row>
    <row r="700">
      <c r="A700" s="73" t="inlineStr">
        <is>
          <t>100352-1</t>
        </is>
      </c>
      <c r="B700" t="inlineStr">
        <is>
          <t>BROGIN MARIANO</t>
        </is>
      </c>
    </row>
    <row r="701">
      <c r="A701" s="74" t="n">
        <v>101050</v>
      </c>
      <c r="B701" t="inlineStr">
        <is>
          <t>HELAROS S.A.S.</t>
        </is>
      </c>
    </row>
    <row r="702">
      <c r="A702" s="74" t="n">
        <v>101190</v>
      </c>
      <c r="B702" t="inlineStr">
        <is>
          <t>Torcoli Gonzalo</t>
        </is>
      </c>
    </row>
    <row r="703">
      <c r="A703" s="74" t="n">
        <v>100692</v>
      </c>
      <c r="B703" t="inlineStr">
        <is>
          <t>ARTICO S.R.L.</t>
        </is>
      </c>
    </row>
    <row r="704">
      <c r="A704" s="73" t="inlineStr">
        <is>
          <t>100107-3</t>
        </is>
      </c>
      <c r="B704" t="inlineStr">
        <is>
          <t>SANCHEZ, JULIO HERNAN</t>
        </is>
      </c>
    </row>
    <row r="705">
      <c r="A705" s="74" t="n">
        <v>100068</v>
      </c>
      <c r="B705" t="inlineStr">
        <is>
          <t>CHORNOBROFF, GUSTAVO DANIEL</t>
        </is>
      </c>
    </row>
    <row r="706">
      <c r="A706" s="74" t="n">
        <v>100225</v>
      </c>
      <c r="B706" t="inlineStr">
        <is>
          <t>BOGGIATTO LEANDRO</t>
        </is>
      </c>
    </row>
    <row r="707">
      <c r="A707" s="73" t="inlineStr">
        <is>
          <t>100198-4</t>
        </is>
      </c>
      <c r="B707" t="inlineStr">
        <is>
          <t>LESCANO, JOSE AUGUSTO</t>
        </is>
      </c>
    </row>
    <row r="708">
      <c r="A708" s="74" t="n">
        <v>100354</v>
      </c>
      <c r="B708" t="inlineStr">
        <is>
          <t>MINIUSSI, FLORENCIA MARIA</t>
        </is>
      </c>
    </row>
    <row r="709">
      <c r="A709" s="74" t="n">
        <v>101335</v>
      </c>
      <c r="B709" t="inlineStr">
        <is>
          <t>LENAPE S.A. EN FORMACION</t>
        </is>
      </c>
    </row>
    <row r="710">
      <c r="A710" s="74" t="n">
        <v>100128</v>
      </c>
      <c r="B710" t="inlineStr">
        <is>
          <t>DADDATO, ALEJANDRO MARTIN</t>
        </is>
      </c>
    </row>
    <row r="711">
      <c r="A711" s="73" t="inlineStr">
        <is>
          <t>101100-1</t>
        </is>
      </c>
      <c r="B711" t="inlineStr">
        <is>
          <t>JOOS RAMIRO GASTON</t>
        </is>
      </c>
    </row>
    <row r="712">
      <c r="A712" s="74" t="n">
        <v>100238</v>
      </c>
      <c r="B712" t="inlineStr">
        <is>
          <t>BUDEGUER, RODRIGO JOSE</t>
        </is>
      </c>
    </row>
    <row r="713">
      <c r="A713" s="74" t="n">
        <v>100426</v>
      </c>
      <c r="B713" t="inlineStr">
        <is>
          <t>LOPEZ, ADRIANA CRISTINA</t>
        </is>
      </c>
    </row>
    <row r="714">
      <c r="A714" s="73" t="inlineStr">
        <is>
          <t>101314-1</t>
        </is>
      </c>
      <c r="B714" t="inlineStr">
        <is>
          <t>KIRI HELADOS S.R.L.</t>
        </is>
      </c>
    </row>
    <row r="715">
      <c r="A715" s="74" t="n">
        <v>100141</v>
      </c>
      <c r="B715" t="inlineStr">
        <is>
          <t>TOMSIG, MAXIMILIANO RODRIGO</t>
        </is>
      </c>
    </row>
    <row r="716">
      <c r="A716" s="73" t="inlineStr">
        <is>
          <t>100476-1</t>
        </is>
      </c>
      <c r="B716" t="inlineStr">
        <is>
          <t>TEODOSIO, CAROLINA RUTH</t>
        </is>
      </c>
    </row>
    <row r="717">
      <c r="A717" s="73" t="inlineStr">
        <is>
          <t>100735-1</t>
        </is>
      </c>
      <c r="B717" t="inlineStr">
        <is>
          <t>CONGELADOS Y CONSERVAS S.R.L.</t>
        </is>
      </c>
    </row>
    <row r="718">
      <c r="A718" s="74" t="n">
        <v>100304</v>
      </c>
      <c r="B718" t="inlineStr">
        <is>
          <t>LEDESMA, RICARDO JAVIER</t>
        </is>
      </c>
    </row>
    <row r="719">
      <c r="A719" s="73" t="inlineStr">
        <is>
          <t>100817-1</t>
        </is>
      </c>
      <c r="B719" t="inlineStr">
        <is>
          <t>SANEUCO S.R.L.</t>
        </is>
      </c>
    </row>
    <row r="720">
      <c r="A720" s="74" t="n">
        <v>101130</v>
      </c>
      <c r="B720" t="inlineStr">
        <is>
          <t>DIAZ MARCELO MARIANO</t>
        </is>
      </c>
    </row>
    <row r="721">
      <c r="A721" s="74" t="n">
        <v>100674</v>
      </c>
      <c r="B721" t="inlineStr">
        <is>
          <t>POSITIVA S.R.L.</t>
        </is>
      </c>
    </row>
    <row r="722">
      <c r="A722" s="73" t="inlineStr">
        <is>
          <t>100817-3</t>
        </is>
      </c>
      <c r="B722" t="inlineStr">
        <is>
          <t>SANEUCO S.R.L.</t>
        </is>
      </c>
    </row>
    <row r="723">
      <c r="A723" s="73" t="inlineStr">
        <is>
          <t>100817-5</t>
        </is>
      </c>
      <c r="B723" t="inlineStr">
        <is>
          <t>SANEUCO S.R.L.</t>
        </is>
      </c>
    </row>
    <row r="724">
      <c r="A724" s="74" t="n">
        <v>101448</v>
      </c>
      <c r="B724" t="inlineStr">
        <is>
          <t>PERETTI IGNACIO JAVIER</t>
        </is>
      </c>
    </row>
    <row r="725">
      <c r="A725" s="74" t="n">
        <v>100182</v>
      </c>
      <c r="B725" t="inlineStr">
        <is>
          <t>CECONELLO, BENITEZ FEDERICO</t>
        </is>
      </c>
    </row>
    <row r="726">
      <c r="A726" s="74" t="n">
        <v>100612</v>
      </c>
      <c r="B726" t="inlineStr">
        <is>
          <t>DE PABLOS S.R.L.</t>
        </is>
      </c>
    </row>
    <row r="727">
      <c r="A727" s="74" t="n">
        <v>100690</v>
      </c>
      <c r="B727" t="inlineStr">
        <is>
          <t>NOBASIS S.R.L.</t>
        </is>
      </c>
    </row>
    <row r="728">
      <c r="A728" s="74" t="n">
        <v>100898</v>
      </c>
      <c r="B728" t="inlineStr">
        <is>
          <t>LORENZANA, OTTO GERONIMO</t>
        </is>
      </c>
    </row>
    <row r="729">
      <c r="A729" s="74" t="n">
        <v>101162</v>
      </c>
      <c r="B729" t="inlineStr">
        <is>
          <t>CAMARGO ALBARRACIN FEDERICO</t>
        </is>
      </c>
    </row>
    <row r="730">
      <c r="A730" s="74" t="n">
        <v>101103</v>
      </c>
      <c r="B730" t="inlineStr">
        <is>
          <t>UNITED GROUP S.A.</t>
        </is>
      </c>
    </row>
    <row r="731">
      <c r="A731" s="73" t="inlineStr">
        <is>
          <t>101020-1</t>
        </is>
      </c>
      <c r="B731" t="inlineStr">
        <is>
          <t>BESU09 S.A.</t>
        </is>
      </c>
    </row>
    <row r="732">
      <c r="A732" s="74" t="n">
        <v>100318</v>
      </c>
      <c r="B732" t="inlineStr">
        <is>
          <t>IRIARTE, SILVIA RAQUEL</t>
        </is>
      </c>
    </row>
    <row r="733">
      <c r="A733" s="74" t="n">
        <v>101145</v>
      </c>
      <c r="B733" t="inlineStr">
        <is>
          <t>ALMA S.R.L.</t>
        </is>
      </c>
    </row>
    <row r="734">
      <c r="A734" s="73" t="inlineStr">
        <is>
          <t>100219-3</t>
        </is>
      </c>
      <c r="B734" t="inlineStr">
        <is>
          <t>BROGIN, NICOLAS</t>
        </is>
      </c>
    </row>
    <row r="735">
      <c r="A735" s="74" t="n">
        <v>101104</v>
      </c>
      <c r="B735" t="inlineStr">
        <is>
          <t>SUAREZ NICOLAS ALFREDO</t>
        </is>
      </c>
    </row>
    <row r="736">
      <c r="A736" s="74" t="n">
        <v>100718</v>
      </c>
      <c r="B736" t="inlineStr">
        <is>
          <t>Rico Helado MDP S.R.L.</t>
        </is>
      </c>
    </row>
    <row r="737">
      <c r="A737" s="73" t="inlineStr">
        <is>
          <t>100495-1</t>
        </is>
      </c>
      <c r="B737" t="inlineStr">
        <is>
          <t>BERTINO, MARÍA PAULA</t>
        </is>
      </c>
    </row>
    <row r="738">
      <c r="A738" s="74" t="n">
        <v>100610</v>
      </c>
      <c r="B738" t="inlineStr">
        <is>
          <t>INTERCOL S.A.</t>
        </is>
      </c>
    </row>
    <row r="739">
      <c r="A739" s="73" t="inlineStr">
        <is>
          <t>100610-1</t>
        </is>
      </c>
      <c r="B739" t="inlineStr">
        <is>
          <t>INTERCOL S.A.</t>
        </is>
      </c>
    </row>
    <row r="740">
      <c r="A740" s="73" t="inlineStr">
        <is>
          <t> </t>
        </is>
      </c>
      <c r="B740" t="inlineStr">
        <is>
          <t> </t>
        </is>
      </c>
    </row>
    <row r="741">
      <c r="A741" s="74" t="n">
        <v>100738</v>
      </c>
      <c r="B741" t="inlineStr">
        <is>
          <t>LOS CELESTES S.R.L.</t>
        </is>
      </c>
    </row>
    <row r="742">
      <c r="A742" s="73" t="inlineStr">
        <is>
          <t>100180-1</t>
        </is>
      </c>
      <c r="B742" t="inlineStr">
        <is>
          <t>LEGORBURU, LUIS MARCELO</t>
        </is>
      </c>
    </row>
    <row r="743">
      <c r="A743" s="74" t="n">
        <v>100447</v>
      </c>
      <c r="B743" t="inlineStr">
        <is>
          <t>TORANZO, ANA ALEJANDRA</t>
        </is>
      </c>
    </row>
    <row r="744">
      <c r="A744" s="73" t="inlineStr">
        <is>
          <t>100652-1</t>
        </is>
      </c>
      <c r="B744" t="inlineStr">
        <is>
          <t>CABICON S.R.L.</t>
        </is>
      </c>
    </row>
    <row r="745">
      <c r="A745" s="73" t="inlineStr">
        <is>
          <t>100592-3</t>
        </is>
      </c>
      <c r="B745" t="inlineStr">
        <is>
          <t>ADN S.R.L.</t>
        </is>
      </c>
    </row>
    <row r="746">
      <c r="A746" s="74" t="n">
        <v>100195</v>
      </c>
      <c r="B746" t="inlineStr">
        <is>
          <t>ANGELINI, ANGEL GABRIEL</t>
        </is>
      </c>
    </row>
    <row r="747">
      <c r="A747" s="73" t="inlineStr">
        <is>
          <t>100466-1</t>
        </is>
      </c>
      <c r="B747" t="inlineStr">
        <is>
          <t>FERNANDEZ, VALERIA ALEJANDRA</t>
        </is>
      </c>
    </row>
    <row r="748">
      <c r="A748" s="74" t="n">
        <v>100345</v>
      </c>
      <c r="B748" t="inlineStr">
        <is>
          <t>ECHEVERRI, SERGIO LUIS</t>
        </is>
      </c>
    </row>
    <row r="749">
      <c r="A749" s="74" t="n">
        <v>101089</v>
      </c>
      <c r="B749" t="inlineStr">
        <is>
          <t>VAIANA, HEBE CARLA</t>
        </is>
      </c>
    </row>
    <row r="750">
      <c r="A750" s="74" t="n">
        <v>101083</v>
      </c>
      <c r="B750" t="inlineStr">
        <is>
          <t>AZUL FRIO S.A.S.</t>
        </is>
      </c>
    </row>
    <row r="751">
      <c r="A751" s="73" t="inlineStr">
        <is>
          <t>100613-2</t>
        </is>
      </c>
      <c r="B751" t="inlineStr">
        <is>
          <t>ZENFA S.R.L.</t>
        </is>
      </c>
    </row>
    <row r="752">
      <c r="A752" s="73" t="inlineStr">
        <is>
          <t>100763-1</t>
        </is>
      </c>
      <c r="B752" t="inlineStr">
        <is>
          <t>ANA HUERGO Y OSVALDO RODRIGUEZ</t>
        </is>
      </c>
    </row>
    <row r="753">
      <c r="A753" s="73" t="inlineStr">
        <is>
          <t>100081-1</t>
        </is>
      </c>
      <c r="B753" t="inlineStr">
        <is>
          <t>JAWAHAR, ANGEL MARCIAL</t>
        </is>
      </c>
    </row>
    <row r="754">
      <c r="A754" s="73" t="inlineStr">
        <is>
          <t>100594-4</t>
        </is>
      </c>
      <c r="B754" t="inlineStr">
        <is>
          <t>J.A.V.R.I. S.R.L.</t>
        </is>
      </c>
    </row>
    <row r="755">
      <c r="A755" s="73" t="inlineStr">
        <is>
          <t>100594-15</t>
        </is>
      </c>
      <c r="B755" t="inlineStr">
        <is>
          <t>J.A.V.R.I. S.R.L.</t>
        </is>
      </c>
    </row>
    <row r="756">
      <c r="A756" s="73" t="inlineStr">
        <is>
          <t>100594-16</t>
        </is>
      </c>
      <c r="B756" t="inlineStr">
        <is>
          <t>J.A.V.R.I. S.R.L.</t>
        </is>
      </c>
    </row>
    <row r="757">
      <c r="A757" s="73" t="inlineStr">
        <is>
          <t>101408-4</t>
        </is>
      </c>
      <c r="B757" t="inlineStr">
        <is>
          <t>GASTRONOMÍA MODERNA S.R.L.</t>
        </is>
      </c>
    </row>
    <row r="758">
      <c r="A758" s="74" t="n">
        <v>100020</v>
      </c>
      <c r="B758" t="inlineStr">
        <is>
          <t>MATEUCCI, DANIEL FERNANDO</t>
        </is>
      </c>
    </row>
    <row r="759">
      <c r="A759" s="73" t="inlineStr">
        <is>
          <t>100594-14</t>
        </is>
      </c>
      <c r="B759" t="inlineStr">
        <is>
          <t>J.A.V.R.I. S.R.L.</t>
        </is>
      </c>
    </row>
    <row r="760">
      <c r="A760" s="74" t="n">
        <v>101247</v>
      </c>
      <c r="B760" t="inlineStr">
        <is>
          <t>RUEDA GUSTAVO ANDRES</t>
        </is>
      </c>
    </row>
    <row r="761">
      <c r="A761" s="74" t="n">
        <v>101058</v>
      </c>
      <c r="B761" t="inlineStr">
        <is>
          <t>BOSIO, CRISTIAN OSCAR</t>
        </is>
      </c>
    </row>
    <row r="762">
      <c r="A762" s="73" t="inlineStr">
        <is>
          <t>100686-1</t>
        </is>
      </c>
      <c r="B762" t="inlineStr">
        <is>
          <t>FRIO EMPRENDIMIENTOS S.R.L.</t>
        </is>
      </c>
    </row>
    <row r="763">
      <c r="A763" s="73" t="inlineStr">
        <is>
          <t>101347-1</t>
        </is>
      </c>
      <c r="B763" t="inlineStr">
        <is>
          <t>LUCERO LAURA CARMEN</t>
        </is>
      </c>
    </row>
    <row r="764">
      <c r="A764" s="73" t="inlineStr">
        <is>
          <t>100605-1</t>
        </is>
      </c>
      <c r="B764" t="inlineStr">
        <is>
          <t>ON WHEELS SOLUTIONS SRL</t>
        </is>
      </c>
    </row>
    <row r="765">
      <c r="A765" s="74" t="n">
        <v>100994</v>
      </c>
      <c r="B765" t="inlineStr">
        <is>
          <t>PEREZ, ANA MARIELA</t>
        </is>
      </c>
    </row>
    <row r="766">
      <c r="A766" s="73" t="inlineStr">
        <is>
          <t>100588-1</t>
        </is>
      </c>
      <c r="B766" t="inlineStr">
        <is>
          <t>VICTORIO CATERING SRL</t>
        </is>
      </c>
    </row>
    <row r="767">
      <c r="A767" s="73" t="inlineStr">
        <is>
          <t>101316-1</t>
        </is>
      </c>
      <c r="B767" t="inlineStr">
        <is>
          <t>MARFED S.A.S.</t>
        </is>
      </c>
    </row>
    <row r="768">
      <c r="A768" s="73" t="inlineStr">
        <is>
          <t>100125-5</t>
        </is>
      </c>
      <c r="B768" t="inlineStr">
        <is>
          <t>RUIZ JORGE ALEJANDRO</t>
        </is>
      </c>
    </row>
    <row r="769">
      <c r="A769" s="74" t="n">
        <v>100780</v>
      </c>
      <c r="B769" t="inlineStr">
        <is>
          <t>GRECH S.R.L.</t>
        </is>
      </c>
    </row>
    <row r="770">
      <c r="A770" s="73" t="inlineStr">
        <is>
          <t>100136-2</t>
        </is>
      </c>
      <c r="B770" t="inlineStr">
        <is>
          <t>MONTECINOS, ALDO FABIAN</t>
        </is>
      </c>
    </row>
    <row r="771">
      <c r="A771" s="73" t="inlineStr">
        <is>
          <t>100722-2</t>
        </is>
      </c>
      <c r="B771" t="inlineStr">
        <is>
          <t>CELA SOCIEDAD ANONIMA</t>
        </is>
      </c>
    </row>
    <row r="772">
      <c r="A772" s="73" t="inlineStr">
        <is>
          <t>100438-1</t>
        </is>
      </c>
      <c r="B772" t="inlineStr">
        <is>
          <t>LOPEZ, RAMONA CRISTINA</t>
        </is>
      </c>
    </row>
    <row r="773">
      <c r="A773" s="74" t="n">
        <v>100670</v>
      </c>
      <c r="B773" t="inlineStr">
        <is>
          <t>SUMMER BLUE S.R.L.</t>
        </is>
      </c>
    </row>
    <row r="774">
      <c r="A774" s="73" t="inlineStr">
        <is>
          <t>100628-4</t>
        </is>
      </c>
      <c r="B774" t="inlineStr">
        <is>
          <t>FRANCOR S.R.L.</t>
        </is>
      </c>
    </row>
    <row r="775">
      <c r="A775" s="73" t="inlineStr">
        <is>
          <t>100628-5</t>
        </is>
      </c>
      <c r="B775" t="inlineStr">
        <is>
          <t>FRANCOR S.R.L.</t>
        </is>
      </c>
    </row>
    <row r="776">
      <c r="A776" s="74" t="n">
        <v>100636</v>
      </c>
      <c r="B776" t="inlineStr">
        <is>
          <t>LIMA MARIO D. Y ALAVA R. SERGI</t>
        </is>
      </c>
    </row>
    <row r="777">
      <c r="A777" s="74" t="n">
        <v>100974</v>
      </c>
      <c r="B777" t="inlineStr">
        <is>
          <t>GRATEALOSPER S.R.L.</t>
        </is>
      </c>
    </row>
    <row r="778">
      <c r="A778" s="74" t="n">
        <v>100619</v>
      </c>
      <c r="B778" t="inlineStr">
        <is>
          <t>VIL-ÑEZ S.A</t>
        </is>
      </c>
    </row>
    <row r="779">
      <c r="A779" s="74" t="n">
        <v>100173</v>
      </c>
      <c r="B779" t="inlineStr">
        <is>
          <t>CARBAJAL, JORGE ALEJANDRO</t>
        </is>
      </c>
    </row>
    <row r="780">
      <c r="A780" s="73" t="inlineStr">
        <is>
          <t>100323-1</t>
        </is>
      </c>
      <c r="B780" t="inlineStr">
        <is>
          <t>CACERES, NEBER LUZ DEL VALLE</t>
        </is>
      </c>
    </row>
    <row r="781">
      <c r="A781" s="73" t="inlineStr">
        <is>
          <t>100308-1</t>
        </is>
      </c>
      <c r="B781" t="inlineStr">
        <is>
          <t>CACERES, AUGUSTO MARTIN</t>
        </is>
      </c>
    </row>
    <row r="782">
      <c r="A782" s="74" t="n">
        <v>101444</v>
      </c>
      <c r="B782" t="inlineStr">
        <is>
          <t>FERNANDEZ ANA SOL</t>
        </is>
      </c>
    </row>
    <row r="783">
      <c r="A783" s="74" t="n">
        <v>100283</v>
      </c>
      <c r="B783" t="inlineStr">
        <is>
          <t>JUAREZ, GERARDO ALEJANDRO</t>
        </is>
      </c>
    </row>
    <row r="784">
      <c r="A784" s="74" t="n">
        <v>100362</v>
      </c>
      <c r="B784" t="inlineStr">
        <is>
          <t>ROSSI, ANTONELLA EVANGELINA</t>
        </is>
      </c>
    </row>
    <row r="785">
      <c r="A785" s="73" t="inlineStr">
        <is>
          <t>100594-8</t>
        </is>
      </c>
      <c r="B785" t="inlineStr">
        <is>
          <t>J.A.V.R.I. S.R.L.</t>
        </is>
      </c>
    </row>
    <row r="786">
      <c r="A786" s="73" t="inlineStr">
        <is>
          <t>100594-9</t>
        </is>
      </c>
      <c r="B786" t="inlineStr">
        <is>
          <t>J.A.V.R.I. S.R.L.</t>
        </is>
      </c>
    </row>
    <row r="787">
      <c r="A787" s="73" t="inlineStr">
        <is>
          <t>100756-3</t>
        </is>
      </c>
      <c r="B787" t="inlineStr">
        <is>
          <t>MM CONGELADOS S.R.L.</t>
        </is>
      </c>
    </row>
    <row r="788">
      <c r="A788" s="74" t="n">
        <v>100418</v>
      </c>
      <c r="B788" t="inlineStr">
        <is>
          <t>MARIN, MARIA CECILIA</t>
        </is>
      </c>
    </row>
    <row r="789">
      <c r="A789" s="73" t="inlineStr">
        <is>
          <t>100651-1</t>
        </is>
      </c>
      <c r="B789" t="inlineStr">
        <is>
          <t>VASIL S.R.L.</t>
        </is>
      </c>
    </row>
    <row r="790">
      <c r="A790" s="74" t="n">
        <v>101100</v>
      </c>
      <c r="B790" t="inlineStr">
        <is>
          <t>JOOS RAMIRO GASTON</t>
        </is>
      </c>
    </row>
    <row r="791">
      <c r="A791" s="74" t="n">
        <v>100206</v>
      </c>
      <c r="B791" t="inlineStr">
        <is>
          <t>VASKAS, SEBASTIAN LUCIANO</t>
        </is>
      </c>
    </row>
    <row r="792">
      <c r="A792" s="74" t="n">
        <v>100094</v>
      </c>
      <c r="B792" t="inlineStr">
        <is>
          <t>RAMALLO, JOSE SALOMON OCAÑO</t>
        </is>
      </c>
    </row>
    <row r="793">
      <c r="A793" s="73" t="inlineStr">
        <is>
          <t>100706-3</t>
        </is>
      </c>
      <c r="B793" t="inlineStr">
        <is>
          <t>ALMUZARA DISTRIBUCIONES S.R.L.</t>
        </is>
      </c>
    </row>
    <row r="794">
      <c r="A794" s="74" t="n">
        <v>101157</v>
      </c>
      <c r="B794" t="inlineStr">
        <is>
          <t>ENEMARK BELEN SOFIA</t>
        </is>
      </c>
    </row>
    <row r="795">
      <c r="A795" s="73" t="inlineStr">
        <is>
          <t>100623-2</t>
        </is>
      </c>
      <c r="B795" t="inlineStr">
        <is>
          <t>H Y G S.R.L.</t>
        </is>
      </c>
    </row>
    <row r="796">
      <c r="A796" s="73" t="inlineStr">
        <is>
          <t>100652-2</t>
        </is>
      </c>
      <c r="B796" t="inlineStr">
        <is>
          <t>CABICON S.R.L.</t>
        </is>
      </c>
    </row>
    <row r="797">
      <c r="A797" s="73" t="inlineStr">
        <is>
          <t>100015-6</t>
        </is>
      </c>
      <c r="B797" t="inlineStr">
        <is>
          <t>TEODOSIO, JORGE ALEJANDRO</t>
        </is>
      </c>
    </row>
    <row r="798">
      <c r="A798" s="74" t="n">
        <v>100466</v>
      </c>
      <c r="B798" t="inlineStr">
        <is>
          <t>FERNANDEZ, VALERIA ALEJANDRA</t>
        </is>
      </c>
    </row>
    <row r="799">
      <c r="A799" s="73" t="inlineStr">
        <is>
          <t>100635-6</t>
        </is>
      </c>
      <c r="B799" t="inlineStr">
        <is>
          <t>GASTROLITORAL S.R.L.</t>
        </is>
      </c>
    </row>
    <row r="800">
      <c r="A800" s="74" t="n">
        <v>100632</v>
      </c>
      <c r="B800" t="inlineStr">
        <is>
          <t>GONZALO RUIZ Y SALVADOR FERRER</t>
        </is>
      </c>
    </row>
    <row r="801">
      <c r="A801" s="74" t="n">
        <v>100208</v>
      </c>
      <c r="B801" t="inlineStr">
        <is>
          <t>CIENFUEGOS, ALEJANDRO MARTIN</t>
        </is>
      </c>
    </row>
    <row r="802">
      <c r="A802" s="74" t="n">
        <v>600084</v>
      </c>
      <c r="B802" t="inlineStr">
        <is>
          <t>GASTRONOMIA PATRICIO MATURANA</t>
        </is>
      </c>
    </row>
    <row r="803">
      <c r="A803" s="74" t="n">
        <v>600102</v>
      </c>
      <c r="B803" t="inlineStr">
        <is>
          <t>ALTAS CUMBRES S.A.</t>
        </is>
      </c>
    </row>
    <row r="804">
      <c r="A804" s="74" t="n">
        <v>600026</v>
      </c>
      <c r="B804" t="inlineStr">
        <is>
          <t>CONTRATA CLEANER SPA</t>
        </is>
      </c>
    </row>
    <row r="805">
      <c r="A805" s="74" t="n">
        <v>600021</v>
      </c>
      <c r="B805" t="inlineStr">
        <is>
          <t>ALIMENTOS SANTAMARTINA LTDA</t>
        </is>
      </c>
    </row>
    <row r="806">
      <c r="A806" s="74" t="n">
        <v>600100</v>
      </c>
      <c r="B806" t="inlineStr">
        <is>
          <t>PASCUAL PEDRO JULIAN MONTALTO,</t>
        </is>
      </c>
    </row>
    <row r="807">
      <c r="A807" s="74" t="n">
        <v>600022</v>
      </c>
      <c r="B807" t="inlineStr">
        <is>
          <t>COM JR BEST IDEAS LTDA</t>
        </is>
      </c>
    </row>
    <row r="808">
      <c r="A808" s="74" t="n">
        <v>600109</v>
      </c>
      <c r="B808" t="inlineStr">
        <is>
          <t>VAL Y FER EIRL</t>
        </is>
      </c>
    </row>
    <row r="809">
      <c r="A809" s="73" t="inlineStr">
        <is>
          <t> </t>
        </is>
      </c>
      <c r="B809" t="inlineStr">
        <is>
          <t> </t>
        </is>
      </c>
    </row>
    <row r="810">
      <c r="A810" s="74" t="n">
        <v>600079</v>
      </c>
      <c r="B810" t="inlineStr">
        <is>
          <t>COM AGUILERA Y VASQUEZ L</t>
        </is>
      </c>
    </row>
    <row r="811">
      <c r="A811" s="74" t="n">
        <v>600011</v>
      </c>
      <c r="B811" t="inlineStr">
        <is>
          <t>HELADERIAS ALCAINO LTDA</t>
        </is>
      </c>
    </row>
    <row r="812">
      <c r="A812" s="74" t="n">
        <v>600014</v>
      </c>
      <c r="B812" t="inlineStr">
        <is>
          <t>COM VILLARROEL Y MEZA LTDA</t>
        </is>
      </c>
    </row>
    <row r="813">
      <c r="A813" s="73" t="inlineStr">
        <is>
          <t>101030-1</t>
        </is>
      </c>
      <c r="B813" t="inlineStr">
        <is>
          <t>SERAFINI, DANIELA BEATRIZ</t>
        </is>
      </c>
    </row>
    <row r="814">
      <c r="A814" s="74" t="n">
        <v>100332</v>
      </c>
      <c r="B814" t="inlineStr">
        <is>
          <t>CANO, CLAUDIO RUBEN</t>
        </is>
      </c>
    </row>
    <row r="815">
      <c r="A815" s="74" t="n">
        <v>101003</v>
      </c>
      <c r="B815" t="inlineStr">
        <is>
          <t>TORRES, ROMINA GISELA</t>
        </is>
      </c>
    </row>
    <row r="816">
      <c r="A816" s="74" t="n">
        <v>100329</v>
      </c>
      <c r="B816" t="inlineStr">
        <is>
          <t>LOPEZ, MARIO ALBERTO</t>
        </is>
      </c>
    </row>
    <row r="817">
      <c r="A817" s="73" t="inlineStr">
        <is>
          <t>101023-1</t>
        </is>
      </c>
      <c r="B817" t="inlineStr">
        <is>
          <t>IMPERIO HELADOS S.A.S.</t>
        </is>
      </c>
    </row>
    <row r="818">
      <c r="A818" s="73" t="inlineStr">
        <is>
          <t>100637-2</t>
        </is>
      </c>
      <c r="B818" t="inlineStr">
        <is>
          <t>NEWENKELEN S.R.L.</t>
        </is>
      </c>
    </row>
    <row r="819">
      <c r="A819" s="73" t="inlineStr">
        <is>
          <t>100597-6</t>
        </is>
      </c>
      <c r="B819" t="inlineStr">
        <is>
          <t>LE GLACIER SRL</t>
        </is>
      </c>
    </row>
    <row r="820">
      <c r="A820" s="73" t="inlineStr">
        <is>
          <t>100476-2</t>
        </is>
      </c>
      <c r="B820" t="inlineStr">
        <is>
          <t>TEODOSIO, CAROLINA RUTH</t>
        </is>
      </c>
    </row>
    <row r="821">
      <c r="A821" s="73" t="inlineStr">
        <is>
          <t>100798-4</t>
        </is>
      </c>
      <c r="B821" t="inlineStr">
        <is>
          <t>DOMINGUEZ, ELSA VALERIA</t>
        </is>
      </c>
    </row>
    <row r="822">
      <c r="A822" s="73" t="inlineStr">
        <is>
          <t>100702-1</t>
        </is>
      </c>
      <c r="B822" t="inlineStr">
        <is>
          <t>CHILUBA S.R.L.</t>
        </is>
      </c>
    </row>
    <row r="823">
      <c r="A823" s="74" t="n">
        <v>100817</v>
      </c>
      <c r="B823" t="inlineStr">
        <is>
          <t>SANEUCO S.R.L.</t>
        </is>
      </c>
    </row>
    <row r="824">
      <c r="A824" s="73" t="inlineStr">
        <is>
          <t>100612-1</t>
        </is>
      </c>
      <c r="B824" t="inlineStr">
        <is>
          <t>DE PABLOS S.R.L.</t>
        </is>
      </c>
    </row>
    <row r="825">
      <c r="A825" s="73" t="inlineStr">
        <is>
          <t>100989-1</t>
        </is>
      </c>
      <c r="B825" t="inlineStr">
        <is>
          <t>FROZEN FROGS S.A.</t>
        </is>
      </c>
    </row>
    <row r="826">
      <c r="A826" s="73" t="inlineStr">
        <is>
          <t>100552-1</t>
        </is>
      </c>
      <c r="B826" t="inlineStr">
        <is>
          <t>LACOSTE, NATALIA JUDIT</t>
        </is>
      </c>
    </row>
    <row r="827">
      <c r="A827" s="73" t="inlineStr">
        <is>
          <t>101086-1</t>
        </is>
      </c>
      <c r="B827" t="inlineStr">
        <is>
          <t>EMEADE S.R.L.</t>
        </is>
      </c>
    </row>
    <row r="828">
      <c r="A828" s="74" t="n">
        <v>100526</v>
      </c>
      <c r="B828" t="inlineStr">
        <is>
          <t>CARMONA, VERONICA GRACIELA</t>
        </is>
      </c>
    </row>
    <row r="829">
      <c r="A829" s="73" t="inlineStr">
        <is>
          <t>100666-1</t>
        </is>
      </c>
      <c r="B829" t="inlineStr">
        <is>
          <t>HELPAROS S.R.L.</t>
        </is>
      </c>
    </row>
    <row r="830">
      <c r="A830" s="74" t="n">
        <v>100676</v>
      </c>
      <c r="B830" t="inlineStr">
        <is>
          <t>ICE MEN S.R.L.</t>
        </is>
      </c>
    </row>
    <row r="831">
      <c r="A831" s="73" t="inlineStr">
        <is>
          <t>100125-3</t>
        </is>
      </c>
      <c r="B831" t="inlineStr">
        <is>
          <t>RUIZ JORGE ALEJANDRO</t>
        </is>
      </c>
    </row>
    <row r="832">
      <c r="A832" s="73" t="inlineStr">
        <is>
          <t>100185-2</t>
        </is>
      </c>
      <c r="B832" t="inlineStr">
        <is>
          <t>GALVAN OSCAR PABLO MATIAS</t>
        </is>
      </c>
    </row>
    <row r="833">
      <c r="A833" s="73" t="inlineStr">
        <is>
          <t>100592-5</t>
        </is>
      </c>
      <c r="B833" t="inlineStr">
        <is>
          <t>ADN S.R.L.</t>
        </is>
      </c>
    </row>
    <row r="834">
      <c r="A834" s="74" t="n">
        <v>100132</v>
      </c>
      <c r="B834" t="inlineStr">
        <is>
          <t>HERRERA, DANIEL EDGARDO</t>
        </is>
      </c>
    </row>
    <row r="835">
      <c r="A835" s="73" t="inlineStr">
        <is>
          <t>100396-1</t>
        </is>
      </c>
      <c r="B835" t="inlineStr">
        <is>
          <t>DOMINGUEZ, PATRICIA LILIANA</t>
        </is>
      </c>
    </row>
    <row r="836">
      <c r="A836" s="73" t="inlineStr">
        <is>
          <t>100662-1</t>
        </is>
      </c>
      <c r="B836" t="inlineStr">
        <is>
          <t>RUSALBE S.A.</t>
        </is>
      </c>
    </row>
    <row r="837">
      <c r="A837" s="73" t="inlineStr">
        <is>
          <t>100653-1</t>
        </is>
      </c>
      <c r="B837" t="inlineStr">
        <is>
          <t>NUSS GRACIELA BEATRIZ Y PAZ MI</t>
        </is>
      </c>
    </row>
    <row r="838">
      <c r="A838" s="74" t="n">
        <v>101166</v>
      </c>
      <c r="B838" t="inlineStr">
        <is>
          <t>MARTHI MARIA LOURDES</t>
        </is>
      </c>
    </row>
    <row r="839">
      <c r="A839" s="73" t="inlineStr">
        <is>
          <t>100976-1</t>
        </is>
      </c>
      <c r="B839" t="inlineStr">
        <is>
          <t>SCHUSTER, PABLO MAXIMILIANO</t>
        </is>
      </c>
    </row>
    <row r="840">
      <c r="A840" s="74" t="n">
        <v>100819</v>
      </c>
      <c r="B840" t="inlineStr">
        <is>
          <t>DE MAR S.R.L.</t>
        </is>
      </c>
    </row>
    <row r="841">
      <c r="A841" s="73" t="inlineStr">
        <is>
          <t>101031-2</t>
        </is>
      </c>
      <c r="B841" t="inlineStr">
        <is>
          <t>CRIKO S.R.L.</t>
        </is>
      </c>
    </row>
    <row r="842">
      <c r="A842" s="74" t="n">
        <v>100539</v>
      </c>
      <c r="B842" t="inlineStr">
        <is>
          <t>SOTO, GISELA NATALIN</t>
        </is>
      </c>
    </row>
    <row r="843">
      <c r="A843" s="74" t="n">
        <v>600015</v>
      </c>
      <c r="B843" t="inlineStr">
        <is>
          <t>SOCIEDAD COMERCIAL P&amp;P LIMITAD</t>
        </is>
      </c>
    </row>
    <row r="844">
      <c r="A844" s="74" t="n">
        <v>600028</v>
      </c>
      <c r="B844" t="inlineStr">
        <is>
          <t>FRANCHICE SPA</t>
        </is>
      </c>
    </row>
    <row r="845">
      <c r="A845" s="74" t="n">
        <v>600013</v>
      </c>
      <c r="B845" t="inlineStr">
        <is>
          <t>EDUARDO ARTURO VASQUEZ VERGARA</t>
        </is>
      </c>
    </row>
    <row r="846">
      <c r="A846" s="73" t="inlineStr">
        <is>
          <t>100698-1</t>
        </is>
      </c>
      <c r="B846" t="inlineStr">
        <is>
          <t>FLOR DE LIS S.R.L.</t>
        </is>
      </c>
    </row>
    <row r="847">
      <c r="A847" s="74" t="n">
        <v>100231</v>
      </c>
      <c r="B847" t="inlineStr">
        <is>
          <t>CIAVATTA, LUIS ALEXIS</t>
        </is>
      </c>
    </row>
    <row r="848">
      <c r="A848" s="73" t="inlineStr">
        <is>
          <t>100037-1</t>
        </is>
      </c>
      <c r="B848" t="inlineStr">
        <is>
          <t>GONZALEZ, LEONARDO ARTURO</t>
        </is>
      </c>
    </row>
    <row r="849">
      <c r="A849" s="74" t="n">
        <v>101409</v>
      </c>
      <c r="B849" t="inlineStr">
        <is>
          <t>TAMAHINE S.A.S.</t>
        </is>
      </c>
    </row>
    <row r="850">
      <c r="A850" s="73" t="inlineStr">
        <is>
          <t>100623-3</t>
        </is>
      </c>
      <c r="B850" t="inlineStr">
        <is>
          <t>H Y G S.R.L.</t>
        </is>
      </c>
    </row>
    <row r="851">
      <c r="A851" s="73" t="inlineStr">
        <is>
          <t>100797-1</t>
        </is>
      </c>
      <c r="B851" t="inlineStr">
        <is>
          <t>QUEVEDO, NATALIA CAROLINA</t>
        </is>
      </c>
    </row>
    <row r="852">
      <c r="A852" s="74" t="n">
        <v>100042</v>
      </c>
      <c r="B852" t="inlineStr">
        <is>
          <t>BUSTELO, SANDRO ARIEL</t>
        </is>
      </c>
    </row>
    <row r="853">
      <c r="A853" s="74" t="n">
        <v>100013</v>
      </c>
      <c r="B853" t="inlineStr">
        <is>
          <t>BERTINO, MIGUEL ANGEL</t>
        </is>
      </c>
    </row>
    <row r="854">
      <c r="A854" s="74" t="n">
        <v>100096</v>
      </c>
      <c r="B854" t="inlineStr">
        <is>
          <t>GIL, CLAUDIO ALEJANDRO</t>
        </is>
      </c>
    </row>
    <row r="855">
      <c r="A855" s="74" t="n">
        <v>100893</v>
      </c>
      <c r="B855" t="inlineStr">
        <is>
          <t>MANZANO FERNANDEZ, CLAUDIA LOR</t>
        </is>
      </c>
    </row>
    <row r="856">
      <c r="A856" s="73" t="inlineStr">
        <is>
          <t>100317-1</t>
        </is>
      </c>
      <c r="B856" t="inlineStr">
        <is>
          <t>CHICONI, DAMIAN HECTOR</t>
        </is>
      </c>
    </row>
    <row r="857">
      <c r="A857" s="74" t="n">
        <v>101077</v>
      </c>
      <c r="B857" t="inlineStr">
        <is>
          <t>DIEZ, CINTHYA ROMINA DEL MAR</t>
        </is>
      </c>
    </row>
    <row r="858">
      <c r="A858" s="74" t="n">
        <v>100706</v>
      </c>
      <c r="B858" t="inlineStr">
        <is>
          <t>ALMUZARA DISTRIBUCIONES S.R.L.</t>
        </is>
      </c>
    </row>
    <row r="859">
      <c r="A859" s="73" t="inlineStr">
        <is>
          <t>100706-1</t>
        </is>
      </c>
      <c r="B859" t="inlineStr">
        <is>
          <t>ALMUZARA DISTRIBUCIONES S.R.L.</t>
        </is>
      </c>
    </row>
    <row r="860">
      <c r="A860" s="73" t="inlineStr">
        <is>
          <t>100646-5</t>
        </is>
      </c>
      <c r="B860" t="inlineStr">
        <is>
          <t>ADRIMAR S.R.L.</t>
        </is>
      </c>
    </row>
    <row r="861">
      <c r="A861" s="74" t="n">
        <v>100263</v>
      </c>
      <c r="B861" t="inlineStr">
        <is>
          <t>PEREZ, LEONARDO MIGUEL</t>
        </is>
      </c>
    </row>
    <row r="862">
      <c r="A862" s="74" t="n">
        <v>100482</v>
      </c>
      <c r="B862" t="inlineStr">
        <is>
          <t>CHENA, LAURA CECILIA</t>
        </is>
      </c>
    </row>
    <row r="863">
      <c r="A863" s="73" t="inlineStr">
        <is>
          <t>100128-1</t>
        </is>
      </c>
      <c r="B863" t="inlineStr">
        <is>
          <t>DADDATO, ALEJANDRO MARTIN</t>
        </is>
      </c>
    </row>
    <row r="864">
      <c r="A864" s="73" t="inlineStr">
        <is>
          <t>101432-1</t>
        </is>
      </c>
      <c r="B864" t="inlineStr">
        <is>
          <t>GYP CASS MDQ S.R.L.</t>
        </is>
      </c>
    </row>
    <row r="865">
      <c r="A865" s="73" t="inlineStr">
        <is>
          <t>101020-2</t>
        </is>
      </c>
      <c r="B865" t="inlineStr">
        <is>
          <t>BESU09 S.A.</t>
        </is>
      </c>
    </row>
    <row r="866">
      <c r="A866" s="74" t="n">
        <v>100699</v>
      </c>
      <c r="B866" t="inlineStr">
        <is>
          <t>PRUINA S.R.L.</t>
        </is>
      </c>
    </row>
    <row r="867">
      <c r="A867" s="73" t="inlineStr">
        <is>
          <t>100354-1</t>
        </is>
      </c>
      <c r="B867" t="inlineStr">
        <is>
          <t>MINIUSSI, FLORENCIA MARIA</t>
        </is>
      </c>
    </row>
    <row r="868">
      <c r="A868" s="73" t="inlineStr">
        <is>
          <t>100200-1</t>
        </is>
      </c>
      <c r="B868" t="inlineStr">
        <is>
          <t>OCAMPO, OSVALDO NORBERTO</t>
        </is>
      </c>
    </row>
    <row r="869">
      <c r="A869" s="73" t="inlineStr">
        <is>
          <t>100664-5</t>
        </is>
      </c>
      <c r="B869" t="inlineStr">
        <is>
          <t>SANTA CRISTINA S.A.</t>
        </is>
      </c>
    </row>
    <row r="870">
      <c r="A870" s="74" t="n">
        <v>100284</v>
      </c>
      <c r="B870" t="inlineStr">
        <is>
          <t>CARENA, MAXIMILIANO GASTON</t>
        </is>
      </c>
    </row>
    <row r="871">
      <c r="A871" s="74" t="n">
        <v>100567</v>
      </c>
      <c r="B871" t="inlineStr">
        <is>
          <t>GIULIANI, AYELEN DENISE</t>
        </is>
      </c>
    </row>
    <row r="872">
      <c r="A872" s="73" t="inlineStr">
        <is>
          <t>100090-2</t>
        </is>
      </c>
      <c r="B872" t="inlineStr">
        <is>
          <t>ANGELINI, VICTOR ESTEBAN</t>
        </is>
      </c>
    </row>
    <row r="873">
      <c r="A873" s="73" t="inlineStr">
        <is>
          <t>100439-1</t>
        </is>
      </c>
      <c r="B873" t="inlineStr">
        <is>
          <t>GUEVARA, MARIA FERNANDA</t>
        </is>
      </c>
    </row>
    <row r="874">
      <c r="A874" s="74" t="n">
        <v>100274</v>
      </c>
      <c r="B874" t="inlineStr">
        <is>
          <t>SANTILLI, FEDERICO ROBERTO</t>
        </is>
      </c>
    </row>
    <row r="875">
      <c r="A875" s="73" t="inlineStr">
        <is>
          <t>100438-2</t>
        </is>
      </c>
      <c r="B875" t="inlineStr">
        <is>
          <t>LOPEZ, RAMONA CRISTINA</t>
        </is>
      </c>
    </row>
    <row r="876">
      <c r="A876" s="74" t="n">
        <v>100721</v>
      </c>
      <c r="B876" t="inlineStr">
        <is>
          <t>MUNDO FRIO S.R.L.</t>
        </is>
      </c>
    </row>
    <row r="877">
      <c r="A877" s="74" t="n">
        <v>100644</v>
      </c>
      <c r="B877" t="inlineStr">
        <is>
          <t>HELASUR S.R.L.</t>
        </is>
      </c>
    </row>
    <row r="878">
      <c r="A878" s="74" t="n">
        <v>100310</v>
      </c>
      <c r="B878" t="inlineStr">
        <is>
          <t>FERNANDEZ NAJERA, MARIA PILAR</t>
        </is>
      </c>
    </row>
    <row r="879">
      <c r="A879" s="74" t="n">
        <v>100116</v>
      </c>
      <c r="B879" t="inlineStr">
        <is>
          <t>DE COSTA, ALEJANDRO DIEGO</t>
        </is>
      </c>
    </row>
    <row r="880">
      <c r="A880" s="73" t="inlineStr">
        <is>
          <t>100659-3</t>
        </is>
      </c>
      <c r="B880" t="inlineStr">
        <is>
          <t>GELCOR SRL EN FORMACION</t>
        </is>
      </c>
    </row>
    <row r="881">
      <c r="A881" s="74" t="n">
        <v>100943</v>
      </c>
      <c r="B881" t="inlineStr">
        <is>
          <t>BERTITO SOCIEDAD SIMPLE</t>
        </is>
      </c>
    </row>
    <row r="882">
      <c r="A882" s="74" t="n">
        <v>100639</v>
      </c>
      <c r="B882" t="inlineStr">
        <is>
          <t>TIPPING POINT S.R.L.</t>
        </is>
      </c>
    </row>
    <row r="883">
      <c r="A883" s="74" t="n">
        <v>100457</v>
      </c>
      <c r="B883" t="inlineStr">
        <is>
          <t>ARCUCHIN, MARIA DELFINA</t>
        </is>
      </c>
    </row>
    <row r="884">
      <c r="A884" s="74" t="n">
        <v>100640</v>
      </c>
      <c r="B884" t="inlineStr">
        <is>
          <t>BASE AZUL S.R.L.</t>
        </is>
      </c>
    </row>
    <row r="885">
      <c r="A885" s="74" t="n">
        <v>100492</v>
      </c>
      <c r="B885" t="inlineStr">
        <is>
          <t>MESCALCHINI JULIETA CECILIA</t>
        </is>
      </c>
    </row>
    <row r="886">
      <c r="A886" s="73" t="inlineStr">
        <is>
          <t>100600-2</t>
        </is>
      </c>
      <c r="B886" t="inlineStr">
        <is>
          <t>SFS S.H. DE URQUIZA GUILLERMO</t>
        </is>
      </c>
    </row>
    <row r="887">
      <c r="A887" s="74" t="n">
        <v>100265</v>
      </c>
      <c r="B887" t="inlineStr">
        <is>
          <t>GIMENEZ, MARCOS RAUL</t>
        </is>
      </c>
    </row>
    <row r="888">
      <c r="A888" s="74" t="n">
        <v>100032</v>
      </c>
      <c r="B888" t="inlineStr">
        <is>
          <t>ZURRO, ALFREDO GABRIEL</t>
        </is>
      </c>
    </row>
    <row r="889">
      <c r="A889" s="73" t="inlineStr">
        <is>
          <t>100786-1</t>
        </is>
      </c>
      <c r="B889" t="inlineStr">
        <is>
          <t>PETZ, GUILLERMO FEDERICO</t>
        </is>
      </c>
    </row>
    <row r="890">
      <c r="A890" s="74" t="n">
        <v>100292</v>
      </c>
      <c r="B890" t="inlineStr">
        <is>
          <t>QUINTEROS, LIDIA DE LAS MERCED</t>
        </is>
      </c>
    </row>
    <row r="891">
      <c r="A891" s="73" t="inlineStr">
        <is>
          <t>101314-3</t>
        </is>
      </c>
      <c r="B891" t="inlineStr">
        <is>
          <t>KIRI HELADOS S.R.L.</t>
        </is>
      </c>
    </row>
    <row r="892">
      <c r="A892" s="73" t="inlineStr">
        <is>
          <t>101312-1</t>
        </is>
      </c>
      <c r="B892" t="inlineStr">
        <is>
          <t>FRIO CERRILLOS S.R.L.</t>
        </is>
      </c>
    </row>
    <row r="893">
      <c r="A893" s="73" t="inlineStr">
        <is>
          <t>100594-20</t>
        </is>
      </c>
      <c r="B893" t="inlineStr">
        <is>
          <t>J.A.V.R.I. S.R.L.</t>
        </is>
      </c>
    </row>
    <row r="894">
      <c r="A894" s="73" t="inlineStr">
        <is>
          <t>100594-21</t>
        </is>
      </c>
      <c r="B894" t="inlineStr">
        <is>
          <t>J.A.V.R.I. S.R.L.</t>
        </is>
      </c>
    </row>
    <row r="895">
      <c r="A895" s="73" t="inlineStr">
        <is>
          <t>100683-5</t>
        </is>
      </c>
      <c r="B895" t="inlineStr">
        <is>
          <t>LA GRANIZADA S.A.</t>
        </is>
      </c>
    </row>
    <row r="896">
      <c r="A896" s="73" t="inlineStr">
        <is>
          <t>100110-1</t>
        </is>
      </c>
      <c r="B896" t="inlineStr">
        <is>
          <t>PEREYRA, SEBASTIÁN EDUARDO</t>
        </is>
      </c>
    </row>
    <row r="897">
      <c r="A897" s="73" t="inlineStr">
        <is>
          <t>100596-1</t>
        </is>
      </c>
      <c r="B897" t="inlineStr">
        <is>
          <t>NOVAG S.R.L.</t>
        </is>
      </c>
    </row>
    <row r="898">
      <c r="A898" s="73" t="inlineStr">
        <is>
          <t>100766-3</t>
        </is>
      </c>
      <c r="B898" t="inlineStr">
        <is>
          <t>HELAVM S.R.L.</t>
        </is>
      </c>
    </row>
    <row r="899">
      <c r="A899" s="73" t="inlineStr">
        <is>
          <t>100588-2</t>
        </is>
      </c>
      <c r="B899" t="inlineStr">
        <is>
          <t>VICTORIO CATERING SRL</t>
        </is>
      </c>
    </row>
    <row r="900">
      <c r="A900" s="73" t="inlineStr">
        <is>
          <t>100793-2</t>
        </is>
      </c>
      <c r="B900" t="inlineStr">
        <is>
          <t>BELLONI, KARINA VANESA</t>
        </is>
      </c>
    </row>
    <row r="901">
      <c r="A901" s="74" t="n">
        <v>100548</v>
      </c>
      <c r="B901" t="inlineStr">
        <is>
          <t>FERRARI, ROMINA ANDREA</t>
        </is>
      </c>
    </row>
    <row r="902">
      <c r="A902" s="74" t="n">
        <v>100192</v>
      </c>
      <c r="B902" t="inlineStr">
        <is>
          <t>FERRARI, CRISTIAN DAVID</t>
        </is>
      </c>
    </row>
    <row r="903">
      <c r="A903" s="74" t="n">
        <v>500022</v>
      </c>
      <c r="B903" t="inlineStr">
        <is>
          <t>COSCAL S.A</t>
        </is>
      </c>
    </row>
    <row r="904">
      <c r="A904" s="74" t="n">
        <v>100459</v>
      </c>
      <c r="B904" t="inlineStr">
        <is>
          <t>BISINELLA, EVANGELINA</t>
        </is>
      </c>
    </row>
    <row r="905">
      <c r="A905" s="74" t="n">
        <v>500042</v>
      </c>
      <c r="B905" t="inlineStr">
        <is>
          <t>FLORENCIA ESTHEFANÍA MARTÍNEZ</t>
        </is>
      </c>
    </row>
    <row r="906">
      <c r="A906" s="74" t="n">
        <v>500040</v>
      </c>
      <c r="B906" t="inlineStr">
        <is>
          <t>DULCES DEL SUR LTDA- LEZICA</t>
        </is>
      </c>
    </row>
    <row r="907">
      <c r="A907" s="74" t="n">
        <v>500043</v>
      </c>
      <c r="B907" t="inlineStr">
        <is>
          <t>VICTORIX SRL</t>
        </is>
      </c>
    </row>
    <row r="908">
      <c r="A908" s="73" t="inlineStr">
        <is>
          <t>08</t>
        </is>
      </c>
      <c r="B908" t="inlineStr">
        <is>
          <t>ALEJANDRA MINO ESTÉVEZ</t>
        </is>
      </c>
    </row>
    <row r="909">
      <c r="A909" s="74" t="n">
        <v>100468</v>
      </c>
      <c r="B909" t="inlineStr">
        <is>
          <t>BOVO, MARIA DE LOS ANGELES</t>
        </is>
      </c>
    </row>
    <row r="910">
      <c r="A910" s="74" t="n">
        <v>600018</v>
      </c>
      <c r="B910" t="inlineStr">
        <is>
          <t>OSPINA ZAMORA Y CIA LTDA</t>
        </is>
      </c>
    </row>
    <row r="911">
      <c r="A911" s="74" t="n">
        <v>600099</v>
      </c>
      <c r="B911" t="inlineStr">
        <is>
          <t>SOCIEDAD ESFARO GELATERIA LIMI</t>
        </is>
      </c>
    </row>
    <row r="912">
      <c r="A912" s="74" t="n">
        <v>600001</v>
      </c>
      <c r="B912" t="inlineStr">
        <is>
          <t>ASESORIAS E INVERSIONES EDUARD</t>
        </is>
      </c>
    </row>
    <row r="913">
      <c r="A913" s="74" t="n">
        <v>100179</v>
      </c>
      <c r="B913" t="inlineStr">
        <is>
          <t>CARRARA, MARCELO ANGEL</t>
        </is>
      </c>
    </row>
    <row r="914">
      <c r="A914" s="73" t="inlineStr">
        <is>
          <t>100752-3</t>
        </is>
      </c>
      <c r="B914" t="inlineStr">
        <is>
          <t>HELBARC S.R.L.</t>
        </is>
      </c>
    </row>
    <row r="915">
      <c r="A915" s="73" t="inlineStr">
        <is>
          <t>100692-1</t>
        </is>
      </c>
      <c r="B915" t="inlineStr">
        <is>
          <t>ARTICO S.R.L.</t>
        </is>
      </c>
    </row>
    <row r="916">
      <c r="A916" s="74" t="n">
        <v>100086</v>
      </c>
      <c r="B916" t="inlineStr">
        <is>
          <t>SORIA, JOSE LUIS</t>
        </is>
      </c>
    </row>
    <row r="917">
      <c r="A917" s="74" t="n">
        <v>100890</v>
      </c>
      <c r="B917" t="inlineStr">
        <is>
          <t>SANTA FE SUR 368 S.A.</t>
        </is>
      </c>
    </row>
    <row r="918">
      <c r="A918" s="73" t="inlineStr">
        <is>
          <t>101209-1</t>
        </is>
      </c>
      <c r="B918" t="inlineStr">
        <is>
          <t>ZONA HELADA S.R.L.</t>
        </is>
      </c>
    </row>
    <row r="919">
      <c r="A919" s="73" t="inlineStr">
        <is>
          <t>101209-2</t>
        </is>
      </c>
      <c r="B919" t="inlineStr">
        <is>
          <t>ZONA HELADA S.R.L.</t>
        </is>
      </c>
    </row>
    <row r="920">
      <c r="A920" s="74" t="n">
        <v>100172</v>
      </c>
      <c r="B920" t="inlineStr">
        <is>
          <t>TENTOR, GONZALO FERNAN</t>
        </is>
      </c>
    </row>
    <row r="921">
      <c r="A921" s="73" t="inlineStr">
        <is>
          <t>100773-1</t>
        </is>
      </c>
      <c r="B921" t="inlineStr">
        <is>
          <t>MATILEA GASTRONOMIA S.R.L.</t>
        </is>
      </c>
    </row>
    <row r="922">
      <c r="A922" s="73" t="inlineStr">
        <is>
          <t>100172-1</t>
        </is>
      </c>
      <c r="B922" t="inlineStr">
        <is>
          <t>TENTOR, GONZALO FERNAN</t>
        </is>
      </c>
    </row>
    <row r="923">
      <c r="A923" s="73" t="inlineStr">
        <is>
          <t>101145-1</t>
        </is>
      </c>
      <c r="B923" t="inlineStr">
        <is>
          <t>ALMA S.R.L.</t>
        </is>
      </c>
    </row>
    <row r="924">
      <c r="A924" s="74" t="n">
        <v>100511</v>
      </c>
      <c r="B924" t="inlineStr">
        <is>
          <t>DANIELSEN, MARIA FERNANDA</t>
        </is>
      </c>
    </row>
    <row r="925">
      <c r="A925" s="73" t="inlineStr">
        <is>
          <t>100304-1</t>
        </is>
      </c>
      <c r="B925" t="inlineStr">
        <is>
          <t>LEDESMA, RICARDO JAVIER</t>
        </is>
      </c>
    </row>
    <row r="926">
      <c r="A926" s="73" t="inlineStr">
        <is>
          <t>100635-2</t>
        </is>
      </c>
      <c r="B926" t="inlineStr">
        <is>
          <t>GASTROLITORAL S.R.L.</t>
        </is>
      </c>
    </row>
    <row r="927">
      <c r="A927" s="73" t="inlineStr">
        <is>
          <t>100677-1</t>
        </is>
      </c>
      <c r="B927" t="inlineStr">
        <is>
          <t>HERAN S.R.L.</t>
        </is>
      </c>
    </row>
    <row r="928">
      <c r="A928" s="73" t="inlineStr">
        <is>
          <t>101037-1</t>
        </is>
      </c>
      <c r="B928" t="inlineStr">
        <is>
          <t>SANCHEZ, CAROLINA</t>
        </is>
      </c>
    </row>
    <row r="929">
      <c r="A929" s="74" t="n">
        <v>101213</v>
      </c>
      <c r="B929" t="inlineStr">
        <is>
          <t>MOLINA MARTINEZ AGUSTIN</t>
        </is>
      </c>
    </row>
    <row r="930">
      <c r="A930" s="74" t="n">
        <v>100255</v>
      </c>
      <c r="B930" t="inlineStr">
        <is>
          <t>QUINTEROS, ISMAEL RODOLFO</t>
        </is>
      </c>
    </row>
    <row r="931">
      <c r="A931" s="73" t="inlineStr">
        <is>
          <t>100403-1</t>
        </is>
      </c>
      <c r="B931" t="inlineStr">
        <is>
          <t>PEREYRA, ROXANA GRISELDA</t>
        </is>
      </c>
    </row>
    <row r="932">
      <c r="A932" s="73" t="inlineStr">
        <is>
          <t>100296-1</t>
        </is>
      </c>
      <c r="B932" t="inlineStr">
        <is>
          <t>RAIMUNDO, WALTER GERARDO</t>
        </is>
      </c>
    </row>
    <row r="933">
      <c r="A933" s="74" t="n">
        <v>100368</v>
      </c>
      <c r="B933" t="inlineStr">
        <is>
          <t>LIZONDO, MIRTA ESTELA</t>
        </is>
      </c>
    </row>
    <row r="934">
      <c r="A934" s="74" t="n">
        <v>100650</v>
      </c>
      <c r="B934" t="inlineStr">
        <is>
          <t>NOACOLD S.R.L.</t>
        </is>
      </c>
    </row>
    <row r="935">
      <c r="A935" s="74" t="n">
        <v>100221</v>
      </c>
      <c r="B935" t="inlineStr">
        <is>
          <t>AHADO PAGANI, JUAN ALBERTO</t>
        </is>
      </c>
    </row>
    <row r="936">
      <c r="A936" s="74" t="n">
        <v>101114</v>
      </c>
      <c r="B936" t="inlineStr">
        <is>
          <t>FONSECA MARINO JOSE IGNACIO</t>
        </is>
      </c>
    </row>
    <row r="937">
      <c r="A937" s="74" t="n">
        <v>101096</v>
      </c>
      <c r="B937" t="inlineStr">
        <is>
          <t>BLANCO, MARCELO OCTAVIO</t>
        </is>
      </c>
    </row>
    <row r="938">
      <c r="A938" s="73" t="inlineStr">
        <is>
          <t>101335-2</t>
        </is>
      </c>
      <c r="B938" t="inlineStr">
        <is>
          <t>LENAPE S.A. EN FORMACION</t>
        </is>
      </c>
    </row>
    <row r="939">
      <c r="A939" s="73" t="inlineStr">
        <is>
          <t>100329-1</t>
        </is>
      </c>
      <c r="B939" t="inlineStr">
        <is>
          <t>LOPEZ, MARIO ALBERTO</t>
        </is>
      </c>
    </row>
    <row r="940">
      <c r="A940" s="73" t="inlineStr">
        <is>
          <t>100206-1</t>
        </is>
      </c>
      <c r="B940" t="inlineStr">
        <is>
          <t>VASKAS, SEBASTIAN LUCIANO</t>
        </is>
      </c>
    </row>
    <row r="941">
      <c r="A941" s="73" t="inlineStr">
        <is>
          <t>100650-11</t>
        </is>
      </c>
      <c r="B941" t="inlineStr">
        <is>
          <t>NOACOLD S.R.L.</t>
        </is>
      </c>
    </row>
    <row r="942">
      <c r="A942" s="73" t="inlineStr">
        <is>
          <t>100786-2</t>
        </is>
      </c>
      <c r="B942" t="inlineStr">
        <is>
          <t>PETZ, GUILLERMO FEDERICO</t>
        </is>
      </c>
    </row>
    <row r="943">
      <c r="A943" s="73" t="inlineStr">
        <is>
          <t>100652-3</t>
        </is>
      </c>
      <c r="B943" t="inlineStr">
        <is>
          <t>CABICON S.R.L.</t>
        </is>
      </c>
    </row>
    <row r="944">
      <c r="A944" s="74" t="n">
        <v>101057</v>
      </c>
      <c r="B944" t="inlineStr">
        <is>
          <t>SALERNO, MARCOS</t>
        </is>
      </c>
    </row>
    <row r="945">
      <c r="A945" s="74" t="n">
        <v>600078</v>
      </c>
      <c r="B945" t="inlineStr">
        <is>
          <t>GELATERIA LUIZ ANTONIO ZUÑIGA</t>
        </is>
      </c>
    </row>
    <row r="946">
      <c r="A946" s="73" t="inlineStr">
        <is>
          <t>100013-1</t>
        </is>
      </c>
      <c r="B946" t="inlineStr">
        <is>
          <t>BERTINO, MIGUEL ANGEL</t>
        </is>
      </c>
    </row>
    <row r="947">
      <c r="A947" s="73" t="inlineStr">
        <is>
          <t>100636-1</t>
        </is>
      </c>
      <c r="B947" t="inlineStr">
        <is>
          <t>LIMA MARIO D. Y ALAVA R. SERGI</t>
        </is>
      </c>
    </row>
    <row r="948">
      <c r="A948" s="73" t="inlineStr">
        <is>
          <t>100238-1</t>
        </is>
      </c>
      <c r="B948" t="inlineStr">
        <is>
          <t>BUDEGUER, RODRIGO JOSE</t>
        </is>
      </c>
    </row>
    <row r="949">
      <c r="A949" s="73" t="inlineStr">
        <is>
          <t>100623-4</t>
        </is>
      </c>
      <c r="B949" t="inlineStr">
        <is>
          <t>H Y G S.R.L.</t>
        </is>
      </c>
    </row>
    <row r="950">
      <c r="A950" s="73" t="inlineStr">
        <is>
          <t>100318-1</t>
        </is>
      </c>
      <c r="B950" t="inlineStr">
        <is>
          <t>IRIARTE, SILVIA RAQUEL</t>
        </is>
      </c>
    </row>
    <row r="951">
      <c r="A951" s="73" t="inlineStr">
        <is>
          <t>100680-1</t>
        </is>
      </c>
      <c r="B951" t="inlineStr">
        <is>
          <t>CORCAS SRL</t>
        </is>
      </c>
    </row>
    <row r="952">
      <c r="A952" s="73" t="inlineStr">
        <is>
          <t>100605-2</t>
        </is>
      </c>
      <c r="B952" t="inlineStr">
        <is>
          <t>ON WHEELS SOLUTIONS SRL</t>
        </is>
      </c>
    </row>
    <row r="953">
      <c r="A953" s="74" t="n">
        <v>100281</v>
      </c>
      <c r="B953" t="inlineStr">
        <is>
          <t>AICARDI, ZBOINSKY JAVIER</t>
        </is>
      </c>
    </row>
    <row r="954">
      <c r="A954" s="74" t="n">
        <v>100658</v>
      </c>
      <c r="B954" t="inlineStr">
        <is>
          <t>JULYBER HNOS. S.R.L.</t>
        </is>
      </c>
    </row>
    <row r="955">
      <c r="A955" s="73" t="inlineStr">
        <is>
          <t>100195-1</t>
        </is>
      </c>
      <c r="B955" t="inlineStr">
        <is>
          <t>ANGELINI, ANGEL GABRIEL</t>
        </is>
      </c>
    </row>
    <row r="956">
      <c r="A956" s="74" t="n">
        <v>100608</v>
      </c>
      <c r="B956" t="inlineStr">
        <is>
          <t>GASPELLO S.R.L.</t>
        </is>
      </c>
    </row>
    <row r="957">
      <c r="A957" s="74" t="n">
        <v>100350</v>
      </c>
      <c r="B957" t="inlineStr">
        <is>
          <t>CHIALVA, LAURA DEL VALLE</t>
        </is>
      </c>
    </row>
    <row r="958">
      <c r="A958" s="73" t="inlineStr">
        <is>
          <t>100692-2</t>
        </is>
      </c>
      <c r="B958" t="inlineStr">
        <is>
          <t>ARTICO S.R.L.</t>
        </is>
      </c>
    </row>
    <row r="959">
      <c r="A959" s="74" t="n">
        <v>101314</v>
      </c>
      <c r="B959" t="inlineStr">
        <is>
          <t>KIRI HELADOS S.R.L.</t>
        </is>
      </c>
    </row>
    <row r="960">
      <c r="A960" s="73" t="inlineStr">
        <is>
          <t>100088-1</t>
        </is>
      </c>
      <c r="B960" t="inlineStr">
        <is>
          <t>PARADA SENESTRARI GERMAN</t>
        </is>
      </c>
    </row>
    <row r="961">
      <c r="A961" s="73" t="inlineStr">
        <is>
          <t>100445-1</t>
        </is>
      </c>
      <c r="B961" t="inlineStr">
        <is>
          <t>CABRAL, NILDA AMELIA</t>
        </is>
      </c>
    </row>
    <row r="962">
      <c r="A962" s="74" t="n">
        <v>100456</v>
      </c>
      <c r="B962" t="inlineStr">
        <is>
          <t>MONTECINOS, SILVINA ANDREA</t>
        </is>
      </c>
    </row>
    <row r="963">
      <c r="A963" s="73" t="inlineStr">
        <is>
          <t>100156-1</t>
        </is>
      </c>
      <c r="B963" t="inlineStr">
        <is>
          <t>REYES, CARLOS JAVIER</t>
        </is>
      </c>
    </row>
    <row r="964">
      <c r="A964" s="74" t="n">
        <v>100041</v>
      </c>
      <c r="B964" t="inlineStr">
        <is>
          <t>COUTSIERS, EDUARDO HUGO</t>
        </is>
      </c>
    </row>
    <row r="965">
      <c r="A965" s="74" t="n">
        <v>100770</v>
      </c>
      <c r="B965" t="inlineStr">
        <is>
          <t>PAM-LUC SOCIEDAD DE RESPONSABI</t>
        </is>
      </c>
    </row>
    <row r="966">
      <c r="A966" s="74" t="n">
        <v>500029</v>
      </c>
      <c r="B966" t="inlineStr">
        <is>
          <t>PERZA SRL</t>
        </is>
      </c>
    </row>
    <row r="967">
      <c r="A967" s="74" t="n">
        <v>500000</v>
      </c>
      <c r="B967" t="inlineStr">
        <is>
          <t>LEZUL SAS</t>
        </is>
      </c>
    </row>
    <row r="968">
      <c r="A968" s="74" t="n">
        <v>101246</v>
      </c>
      <c r="B968" t="inlineStr">
        <is>
          <t>CANO FALCON MARTIN FERNANDO</t>
        </is>
      </c>
    </row>
    <row r="969">
      <c r="A969" s="74" t="n">
        <v>500049</v>
      </c>
      <c r="B969" t="inlineStr">
        <is>
          <t>JULIO DARIO CABRERA LIMA</t>
        </is>
      </c>
    </row>
    <row r="970">
      <c r="A970" s="74" t="n">
        <v>500026</v>
      </c>
      <c r="B970" t="inlineStr">
        <is>
          <t>DECREVI S.A</t>
        </is>
      </c>
    </row>
    <row r="971">
      <c r="A971" s="74" t="n">
        <v>500015</v>
      </c>
      <c r="B971" t="inlineStr">
        <is>
          <t>GERMAN ARRONDO MARRA</t>
        </is>
      </c>
    </row>
    <row r="972">
      <c r="A972" s="74" t="n">
        <v>500002</v>
      </c>
      <c r="B972" t="inlineStr">
        <is>
          <t>NOELIA VIRGINIA TORRES BEROIS</t>
        </is>
      </c>
    </row>
    <row r="973">
      <c r="A973" s="74" t="n">
        <v>500009</v>
      </c>
      <c r="B973" t="inlineStr">
        <is>
          <t>TALAMUCHITA S.R.L</t>
        </is>
      </c>
    </row>
    <row r="974">
      <c r="A974" s="74" t="n">
        <v>100088</v>
      </c>
      <c r="B974" t="inlineStr">
        <is>
          <t>PARADA SENESTRARI GERMAN</t>
        </is>
      </c>
    </row>
    <row r="975">
      <c r="A975" s="74" t="n">
        <v>500018</v>
      </c>
      <c r="B975" t="inlineStr">
        <is>
          <t>HELADOS RUTA 8 S.R.L</t>
        </is>
      </c>
    </row>
    <row r="976">
      <c r="A976" s="74" t="n">
        <v>500024</v>
      </c>
      <c r="B976" t="inlineStr">
        <is>
          <t>ADRIANA LUCIA ITHURBIDE ARRALD</t>
        </is>
      </c>
    </row>
    <row r="977">
      <c r="A977" s="74" t="n">
        <v>100138</v>
      </c>
      <c r="B977" t="inlineStr">
        <is>
          <t>BRESSAN, ANDRÉS FERNANDO</t>
        </is>
      </c>
    </row>
    <row r="978">
      <c r="A978" s="73" t="inlineStr">
        <is>
          <t>100459-2</t>
        </is>
      </c>
      <c r="B978" t="inlineStr">
        <is>
          <t>BISINELLA, EVANGELINA</t>
        </is>
      </c>
    </row>
    <row r="979">
      <c r="A979" s="74" t="n">
        <v>100269</v>
      </c>
      <c r="B979" t="inlineStr">
        <is>
          <t>SCHEUCHER, HEINRICH ALAIN</t>
        </is>
      </c>
    </row>
    <row r="980">
      <c r="A980" s="73" t="inlineStr">
        <is>
          <t>100686-2</t>
        </is>
      </c>
      <c r="B980" t="inlineStr">
        <is>
          <t>FRIO EMPRENDIMIENTOS S.R.L.</t>
        </is>
      </c>
    </row>
    <row r="981">
      <c r="A981" s="74" t="n">
        <v>100018</v>
      </c>
      <c r="B981" t="inlineStr">
        <is>
          <t>NUSS, RUBEN ROBERTO</t>
        </is>
      </c>
    </row>
    <row r="982">
      <c r="A982" s="74" t="n">
        <v>100358</v>
      </c>
      <c r="B982" t="inlineStr">
        <is>
          <t>NUSS, EMMANUEL ISAIAS</t>
        </is>
      </c>
    </row>
    <row r="983">
      <c r="A983" s="73" t="inlineStr">
        <is>
          <t>100354-2</t>
        </is>
      </c>
      <c r="B983" t="inlineStr">
        <is>
          <t>MINIUSSI, FLORENCIA MARIA</t>
        </is>
      </c>
    </row>
    <row r="984">
      <c r="A984" s="74" t="n">
        <v>100531</v>
      </c>
      <c r="B984" t="inlineStr">
        <is>
          <t>BELCORE, LUISINA EMILIA</t>
        </is>
      </c>
    </row>
    <row r="985">
      <c r="A985" s="74" t="n">
        <v>101313</v>
      </c>
      <c r="B985" t="inlineStr">
        <is>
          <t>ROSTON JESICA NADIA</t>
        </is>
      </c>
    </row>
    <row r="986">
      <c r="A986" s="74" t="n">
        <v>100768</v>
      </c>
      <c r="B986" t="inlineStr">
        <is>
          <t>BRUNO LISTA Y ROMAN S.R.L.</t>
        </is>
      </c>
    </row>
    <row r="987">
      <c r="A987" s="74" t="n">
        <v>101443</v>
      </c>
      <c r="B987" t="inlineStr">
        <is>
          <t>HARDING ANA LAURA</t>
        </is>
      </c>
    </row>
    <row r="988">
      <c r="A988" s="74" t="n">
        <v>100321</v>
      </c>
      <c r="B988" t="inlineStr">
        <is>
          <t>SOSA, MARIANA FLORENCIA</t>
        </is>
      </c>
    </row>
    <row r="989">
      <c r="A989" s="73" t="inlineStr">
        <is>
          <t>100174-1</t>
        </is>
      </c>
      <c r="B989" t="inlineStr">
        <is>
          <t>BOCO, RICARDO EXEQUIEL</t>
        </is>
      </c>
    </row>
    <row r="990">
      <c r="A990" s="74" t="n">
        <v>100926</v>
      </c>
      <c r="B990" t="inlineStr">
        <is>
          <t>MOYANO, MARTIN SEBASTIAN</t>
        </is>
      </c>
    </row>
    <row r="991">
      <c r="A991" s="73" t="inlineStr">
        <is>
          <t>100756-4</t>
        </is>
      </c>
      <c r="B991" t="inlineStr">
        <is>
          <t>MM CONGELADOS S.R.L.</t>
        </is>
      </c>
    </row>
    <row r="992">
      <c r="A992" s="74" t="n">
        <v>100666</v>
      </c>
      <c r="B992" t="inlineStr">
        <is>
          <t>HELPAROS S.R.L.</t>
        </is>
      </c>
    </row>
    <row r="993">
      <c r="A993" s="73" t="inlineStr">
        <is>
          <t>100737-1</t>
        </is>
      </c>
      <c r="B993" t="inlineStr">
        <is>
          <t>L &amp; A BETEL S.A. (En Formación</t>
        </is>
      </c>
    </row>
    <row r="994">
      <c r="A994" s="74" t="n">
        <v>100048</v>
      </c>
      <c r="B994" t="inlineStr">
        <is>
          <t>QUINTEROS, MARCELO FABIAN</t>
        </is>
      </c>
    </row>
    <row r="995">
      <c r="A995" s="73" t="inlineStr">
        <is>
          <t>100599-4</t>
        </is>
      </c>
      <c r="B995" t="inlineStr">
        <is>
          <t>BIZMAL SRL</t>
        </is>
      </c>
    </row>
    <row r="996">
      <c r="A996" s="73" t="inlineStr">
        <is>
          <t>100513-1</t>
        </is>
      </c>
      <c r="B996" t="inlineStr">
        <is>
          <t>BIBBO, LUCIANA</t>
        </is>
      </c>
    </row>
    <row r="997">
      <c r="A997" s="73" t="inlineStr">
        <is>
          <t>100620-2</t>
        </is>
      </c>
      <c r="B997" t="inlineStr">
        <is>
          <t>SWEET CREAMS S.R.L.</t>
        </is>
      </c>
    </row>
    <row r="998">
      <c r="A998" s="73" t="inlineStr">
        <is>
          <t>101135-1</t>
        </is>
      </c>
      <c r="B998" t="inlineStr">
        <is>
          <t>HELMBOLD RICARDO ALBERTO</t>
        </is>
      </c>
    </row>
    <row r="999">
      <c r="A999" s="74" t="n">
        <v>600016</v>
      </c>
      <c r="B999" t="inlineStr">
        <is>
          <t>SOCIEDAD COMERCIALIZADORA EVIC</t>
        </is>
      </c>
    </row>
    <row r="1000">
      <c r="A1000" s="73" t="inlineStr">
        <is>
          <t> </t>
        </is>
      </c>
      <c r="B1000" t="inlineStr">
        <is>
          <t> </t>
        </is>
      </c>
    </row>
    <row r="1001">
      <c r="A1001" s="73" t="inlineStr">
        <is>
          <t>100650-10</t>
        </is>
      </c>
      <c r="B1001" t="inlineStr">
        <is>
          <t>NOACOLD S.R.L.</t>
        </is>
      </c>
    </row>
    <row r="1002">
      <c r="A1002" s="74" t="n">
        <v>100524</v>
      </c>
      <c r="B1002" t="inlineStr">
        <is>
          <t>SIMBRON, ROMINA GUADALUPE</t>
        </is>
      </c>
    </row>
    <row r="1003">
      <c r="A1003" s="73" t="inlineStr">
        <is>
          <t>100721-1</t>
        </is>
      </c>
      <c r="B1003" t="inlineStr">
        <is>
          <t>MUNDO FRIO S.R.L.</t>
        </is>
      </c>
    </row>
    <row r="1004">
      <c r="A1004" s="74" t="n">
        <v>100452</v>
      </c>
      <c r="B1004" t="inlineStr">
        <is>
          <t>GHIGO, SILVINA VALERIA</t>
        </is>
      </c>
    </row>
    <row r="1005">
      <c r="A1005" s="73" t="inlineStr">
        <is>
          <t>100588-3</t>
        </is>
      </c>
      <c r="B1005" t="inlineStr">
        <is>
          <t>VICTORIO CATERING SRL</t>
        </is>
      </c>
    </row>
    <row r="1006">
      <c r="A1006" s="73" t="inlineStr">
        <is>
          <t>100703-3</t>
        </is>
      </c>
      <c r="B1006" t="inlineStr">
        <is>
          <t>CHARMON S.R.L.</t>
        </is>
      </c>
    </row>
    <row r="1007">
      <c r="A1007" s="74" t="n">
        <v>100657</v>
      </c>
      <c r="B1007" t="inlineStr">
        <is>
          <t>LADO VERDE S.R.L.</t>
        </is>
      </c>
    </row>
    <row r="1008">
      <c r="A1008" s="74" t="n">
        <v>101284</v>
      </c>
      <c r="B1008" t="inlineStr">
        <is>
          <t>BRET SEBASTIAN DAVID</t>
        </is>
      </c>
    </row>
    <row r="1009">
      <c r="A1009" s="73" t="inlineStr">
        <is>
          <t>100402-3</t>
        </is>
      </c>
      <c r="B1009" t="inlineStr">
        <is>
          <t>PICCHIO, ALEJANDRA VALENTINA</t>
        </is>
      </c>
    </row>
    <row r="1010">
      <c r="A1010" s="73" t="inlineStr">
        <is>
          <t>100819-1</t>
        </is>
      </c>
      <c r="B1010" t="inlineStr">
        <is>
          <t>DE MAR S.R.L.</t>
        </is>
      </c>
    </row>
    <row r="1011">
      <c r="A1011" s="74" t="n">
        <v>100691</v>
      </c>
      <c r="B1011" t="inlineStr">
        <is>
          <t>FRI MER COSUR S.A.</t>
        </is>
      </c>
    </row>
    <row r="1012">
      <c r="A1012" s="73" t="inlineStr">
        <is>
          <t>100340-1</t>
        </is>
      </c>
      <c r="B1012" t="inlineStr">
        <is>
          <t>DAGROSSA, JOSE MARIA</t>
        </is>
      </c>
    </row>
    <row r="1013">
      <c r="A1013" s="74" t="n">
        <v>100744</v>
      </c>
      <c r="B1013" t="inlineStr">
        <is>
          <t>ARTURO ILLIA SUR 3877 S.A.</t>
        </is>
      </c>
    </row>
    <row r="1014">
      <c r="A1014" s="74" t="n">
        <v>100665</v>
      </c>
      <c r="B1014" t="inlineStr">
        <is>
          <t>INFINITO S.R.L.</t>
        </is>
      </c>
    </row>
    <row r="1015">
      <c r="A1015" s="74" t="n">
        <v>100087</v>
      </c>
      <c r="B1015" t="inlineStr">
        <is>
          <t>PARIS, DIEGO LISANDRO</t>
        </is>
      </c>
    </row>
    <row r="1016">
      <c r="A1016" s="74" t="n">
        <v>100007</v>
      </c>
      <c r="B1016" t="inlineStr">
        <is>
          <t>DEGLI, JORGE HERMENEGILDO</t>
        </is>
      </c>
    </row>
    <row r="1017">
      <c r="A1017" s="73" t="inlineStr">
        <is>
          <t>100871-2</t>
        </is>
      </c>
      <c r="B1017" t="inlineStr">
        <is>
          <t>ALMEIDA TORRES ALFREDO MATIAS</t>
        </is>
      </c>
    </row>
    <row r="1018">
      <c r="A1018" s="73" t="inlineStr">
        <is>
          <t>100263-2</t>
        </is>
      </c>
      <c r="B1018" t="inlineStr">
        <is>
          <t>PEREZ, LEONARDO MIGUEL</t>
        </is>
      </c>
    </row>
    <row r="1019">
      <c r="A1019" s="73" t="inlineStr">
        <is>
          <t>101163-2</t>
        </is>
      </c>
      <c r="B1019" t="inlineStr">
        <is>
          <t>NOTO S.R.L.</t>
        </is>
      </c>
    </row>
    <row r="1020">
      <c r="A1020" s="74" t="n">
        <v>100142</v>
      </c>
      <c r="B1020" t="inlineStr">
        <is>
          <t>ARIAS, SERGIO DANIEL</t>
        </is>
      </c>
    </row>
    <row r="1021">
      <c r="A1021" s="74" t="n">
        <v>100536</v>
      </c>
      <c r="B1021" t="inlineStr">
        <is>
          <t>NIEVAS, NOELIA AGOSTINA</t>
        </is>
      </c>
    </row>
    <row r="1022">
      <c r="A1022" s="73" t="inlineStr">
        <is>
          <t>101025-1</t>
        </is>
      </c>
      <c r="B1022" t="inlineStr">
        <is>
          <t>MELNYKA S.A.</t>
        </is>
      </c>
    </row>
    <row r="1023">
      <c r="A1023" s="74" t="n">
        <v>100755</v>
      </c>
      <c r="B1023" t="inlineStr">
        <is>
          <t>FRESH POINT S.R.L.</t>
        </is>
      </c>
    </row>
    <row r="1024">
      <c r="A1024" s="73" t="inlineStr">
        <is>
          <t>100895-1</t>
        </is>
      </c>
      <c r="B1024" t="inlineStr">
        <is>
          <t>BORBA ARGENTINA S.R.L.</t>
        </is>
      </c>
    </row>
    <row r="1025">
      <c r="A1025" s="74" t="n">
        <v>100616</v>
      </c>
      <c r="B1025" t="inlineStr">
        <is>
          <t>HKT S.R.L.</t>
        </is>
      </c>
    </row>
    <row r="1026">
      <c r="A1026" s="74" t="n">
        <v>101094</v>
      </c>
      <c r="B1026" t="inlineStr">
        <is>
          <t>GONZALEZ, CLAUDIO MARCELO</t>
        </is>
      </c>
    </row>
    <row r="1027">
      <c r="A1027" s="74" t="n">
        <v>100422</v>
      </c>
      <c r="B1027" t="inlineStr">
        <is>
          <t>QUINTEROS, MARIA SOLEDAD</t>
        </is>
      </c>
    </row>
    <row r="1028">
      <c r="A1028" s="73" t="inlineStr">
        <is>
          <t>100662-2</t>
        </is>
      </c>
      <c r="B1028" t="inlineStr">
        <is>
          <t>RUSALBE S.A.</t>
        </is>
      </c>
    </row>
    <row r="1029">
      <c r="A1029" s="73" t="inlineStr">
        <is>
          <t>101081-1</t>
        </is>
      </c>
      <c r="B1029" t="inlineStr">
        <is>
          <t>PEREZ, VERONICA LORENA</t>
        </is>
      </c>
    </row>
    <row r="1030">
      <c r="A1030" s="73" t="inlineStr">
        <is>
          <t>101189-1</t>
        </is>
      </c>
      <c r="B1030" t="inlineStr">
        <is>
          <t>FREEZAR SRL</t>
        </is>
      </c>
    </row>
    <row r="1031">
      <c r="A1031" s="74" t="n">
        <v>100278</v>
      </c>
      <c r="B1031" t="inlineStr">
        <is>
          <t>GARAY, LUCAS EMMANUEL</t>
        </is>
      </c>
    </row>
    <row r="1032">
      <c r="A1032" s="74" t="n">
        <v>101363</v>
      </c>
      <c r="B1032" t="inlineStr">
        <is>
          <t>JOOS SERGIO GONZALO</t>
        </is>
      </c>
    </row>
    <row r="1033">
      <c r="A1033" s="73" t="inlineStr">
        <is>
          <t>100694-1</t>
        </is>
      </c>
      <c r="B1033" t="inlineStr">
        <is>
          <t>LESSER SALTA S.R.L.</t>
        </is>
      </c>
    </row>
    <row r="1034">
      <c r="A1034" s="73" t="inlineStr">
        <is>
          <t>100766-5</t>
        </is>
      </c>
      <c r="B1034" t="inlineStr">
        <is>
          <t>HELAVM S.R.L.</t>
        </is>
      </c>
    </row>
    <row r="1035">
      <c r="A1035" s="74" t="n">
        <v>100194</v>
      </c>
      <c r="B1035" t="inlineStr">
        <is>
          <t>GEREZ, DANTE FERMIN</t>
        </is>
      </c>
    </row>
    <row r="1036">
      <c r="A1036" s="73" t="inlineStr">
        <is>
          <t>100926-2</t>
        </is>
      </c>
      <c r="B1036" t="inlineStr">
        <is>
          <t>MOYANO, MARTIN SEBASTIAN</t>
        </is>
      </c>
    </row>
    <row r="1037">
      <c r="A1037" s="73" t="inlineStr">
        <is>
          <t>100383-4</t>
        </is>
      </c>
      <c r="B1037" t="inlineStr">
        <is>
          <t>VILLEGAS, SUSANA ELIZABETH</t>
        </is>
      </c>
    </row>
    <row r="1038">
      <c r="A1038" s="74" t="n">
        <v>100285</v>
      </c>
      <c r="B1038" t="inlineStr">
        <is>
          <t>BANCHIO, SANTIAGO NICOLAS</t>
        </is>
      </c>
    </row>
    <row r="1039">
      <c r="A1039" s="73" t="inlineStr">
        <is>
          <t>101000-1</t>
        </is>
      </c>
      <c r="B1039" t="inlineStr">
        <is>
          <t>LOPEZ FELICE MARIA BELEN</t>
        </is>
      </c>
    </row>
    <row r="1040">
      <c r="A1040" s="73" t="inlineStr">
        <is>
          <t>100539-1</t>
        </is>
      </c>
      <c r="B1040" t="inlineStr">
        <is>
          <t>SOTO, GISELA NATALIN</t>
        </is>
      </c>
    </row>
    <row r="1041">
      <c r="A1041" s="73" t="inlineStr">
        <is>
          <t>100632-1</t>
        </is>
      </c>
      <c r="B1041" t="inlineStr">
        <is>
          <t>GONZALO RUIZ Y SALVADOR FERRER</t>
        </is>
      </c>
    </row>
    <row r="1042">
      <c r="A1042" s="73" t="inlineStr">
        <is>
          <t>100310-1</t>
        </is>
      </c>
      <c r="B1042" t="inlineStr">
        <is>
          <t>FERNANDEZ NAJERA, MARIA PILAR</t>
        </is>
      </c>
    </row>
    <row r="1043">
      <c r="A1043" s="73" t="inlineStr">
        <is>
          <t>100074-1</t>
        </is>
      </c>
      <c r="B1043" t="inlineStr">
        <is>
          <t>VALDEZ, HECTOR RAUL</t>
        </is>
      </c>
    </row>
    <row r="1044">
      <c r="A1044" s="74" t="n">
        <v>100313</v>
      </c>
      <c r="B1044" t="inlineStr">
        <is>
          <t>ZOPPI, MARIA VIRGINIA</t>
        </is>
      </c>
    </row>
    <row r="1045">
      <c r="A1045" s="74" t="n">
        <v>500014</v>
      </c>
      <c r="B1045" t="inlineStr">
        <is>
          <t>BETINA GISELE MARCHAN COLOMBO</t>
        </is>
      </c>
    </row>
    <row r="1046">
      <c r="A1046" s="73" t="inlineStr">
        <is>
          <t>100138-1</t>
        </is>
      </c>
      <c r="B1046" t="inlineStr">
        <is>
          <t>BRESSAN, ANDRÉS FERNANDO</t>
        </is>
      </c>
    </row>
    <row r="1047">
      <c r="A1047" s="74" t="n">
        <v>100774</v>
      </c>
      <c r="B1047" t="inlineStr">
        <is>
          <t>NVN S.R.L.</t>
        </is>
      </c>
    </row>
    <row r="1048">
      <c r="A1048" s="74" t="n">
        <v>101212</v>
      </c>
      <c r="B1048" t="inlineStr">
        <is>
          <t>MONENTE DIEGO JULIAN</t>
        </is>
      </c>
    </row>
    <row r="1049">
      <c r="A1049" s="74" t="n">
        <v>100242</v>
      </c>
      <c r="B1049" t="inlineStr">
        <is>
          <t>ALVAREZ, JUAN MANUEL</t>
        </is>
      </c>
    </row>
    <row r="1050">
      <c r="A1050" s="74" t="n">
        <v>100399</v>
      </c>
      <c r="B1050" t="inlineStr">
        <is>
          <t>PULIDO, MARTA ELENA</t>
        </is>
      </c>
    </row>
    <row r="1051">
      <c r="A1051" s="73" t="inlineStr">
        <is>
          <t>100128-2</t>
        </is>
      </c>
      <c r="B1051" t="inlineStr">
        <is>
          <t>DADDATO, ALEJANDRO MARTIN</t>
        </is>
      </c>
    </row>
    <row r="1052">
      <c r="A1052" s="73" t="inlineStr">
        <is>
          <t>100635-5</t>
        </is>
      </c>
      <c r="B1052" t="inlineStr">
        <is>
          <t>GASTROLITORAL S.R.L.</t>
        </is>
      </c>
    </row>
    <row r="1053">
      <c r="A1053" s="73" t="inlineStr">
        <is>
          <t>100610-4</t>
        </is>
      </c>
      <c r="B1053" t="inlineStr">
        <is>
          <t>INTERCOL S.A.</t>
        </is>
      </c>
    </row>
    <row r="1054">
      <c r="A1054" s="74" t="n">
        <v>100196</v>
      </c>
      <c r="B1054" t="inlineStr">
        <is>
          <t>SOLARES DOMINGUEZ RODRIGO JAVI</t>
        </is>
      </c>
    </row>
    <row r="1055">
      <c r="A1055" s="74" t="n">
        <v>100024</v>
      </c>
      <c r="B1055" t="inlineStr">
        <is>
          <t>RODOLICO, PEDRO</t>
        </is>
      </c>
    </row>
    <row r="1056">
      <c r="A1056" s="74" t="n">
        <v>500037</v>
      </c>
      <c r="B1056" t="inlineStr">
        <is>
          <t>GRIMARCO S.R.L</t>
        </is>
      </c>
    </row>
    <row r="1057">
      <c r="A1057" s="74" t="n">
        <v>500055</v>
      </c>
      <c r="B1057" t="inlineStr">
        <is>
          <t>RIET BERNARDI CECILIA</t>
        </is>
      </c>
    </row>
    <row r="1058">
      <c r="A1058" s="74" t="n">
        <v>500030</v>
      </c>
      <c r="B1058" t="inlineStr">
        <is>
          <t>VERGIA S.R.L</t>
        </is>
      </c>
    </row>
    <row r="1059">
      <c r="A1059" s="74" t="n">
        <v>500031</v>
      </c>
      <c r="B1059" t="inlineStr">
        <is>
          <t>PROZUNI S.R.L</t>
        </is>
      </c>
    </row>
    <row r="1060">
      <c r="A1060" s="74" t="n">
        <v>500033</v>
      </c>
      <c r="B1060" t="inlineStr">
        <is>
          <t>COSTA HELADOS S.R.L.</t>
        </is>
      </c>
    </row>
    <row r="1061">
      <c r="A1061" s="73" t="inlineStr">
        <is>
          <t>100607-2</t>
        </is>
      </c>
      <c r="B1061" t="inlineStr">
        <is>
          <t>3MAKA TANDIL S.R.L.</t>
        </is>
      </c>
    </row>
    <row r="1062">
      <c r="A1062" s="74" t="n">
        <v>100381</v>
      </c>
      <c r="B1062" t="inlineStr">
        <is>
          <t>BENITEZ, CRUZ CECILIA</t>
        </is>
      </c>
    </row>
    <row r="1063">
      <c r="A1063" s="73" t="inlineStr">
        <is>
          <t>100536-1</t>
        </is>
      </c>
      <c r="B1063" t="inlineStr">
        <is>
          <t>NIEVAS, NOELIA AGOSTINA</t>
        </is>
      </c>
    </row>
    <row r="1064">
      <c r="A1064" s="74" t="n">
        <v>100072</v>
      </c>
      <c r="B1064" t="inlineStr">
        <is>
          <t>ESCUDERO VICTOR HUMBERTO</t>
        </is>
      </c>
    </row>
    <row r="1065">
      <c r="A1065" s="73" t="inlineStr">
        <is>
          <t>100738-2</t>
        </is>
      </c>
      <c r="B1065" t="inlineStr">
        <is>
          <t>LOS CELESTES S.R.L.</t>
        </is>
      </c>
    </row>
    <row r="1066">
      <c r="A1066" s="73" t="inlineStr">
        <is>
          <t>100021-1</t>
        </is>
      </c>
      <c r="B1066" t="inlineStr">
        <is>
          <t>VILCHES DANIEL JESUS</t>
        </is>
      </c>
    </row>
    <row r="1067">
      <c r="A1067" s="74" t="n">
        <v>100113</v>
      </c>
      <c r="B1067" t="inlineStr">
        <is>
          <t>AVILA, LIDIA ALEJANDRA DE LOUR</t>
        </is>
      </c>
    </row>
    <row r="1068">
      <c r="A1068" s="73" t="inlineStr">
        <is>
          <t>100107-4</t>
        </is>
      </c>
      <c r="B1068" t="inlineStr">
        <is>
          <t>SANCHEZ, JULIO HERNAN</t>
        </is>
      </c>
    </row>
    <row r="1069">
      <c r="A1069" s="74" t="n">
        <v>100254</v>
      </c>
      <c r="B1069" t="inlineStr">
        <is>
          <t>FERNANDEZ JURE MATIAS JAVIER</t>
        </is>
      </c>
    </row>
    <row r="1070">
      <c r="A1070" s="73" t="inlineStr">
        <is>
          <t>100614-1</t>
        </is>
      </c>
      <c r="B1070" t="inlineStr">
        <is>
          <t>SALUED S.A.</t>
        </is>
      </c>
    </row>
    <row r="1071">
      <c r="A1071" s="73" t="inlineStr">
        <is>
          <t>100308-2</t>
        </is>
      </c>
      <c r="B1071" t="inlineStr">
        <is>
          <t>CACERES, AUGUSTO MARTIN</t>
        </is>
      </c>
    </row>
    <row r="1072">
      <c r="A1072" s="74" t="n">
        <v>100589</v>
      </c>
      <c r="B1072" t="inlineStr">
        <is>
          <t>PILARES SOCIEDAD DE RESPONSABI</t>
        </is>
      </c>
    </row>
    <row r="1073">
      <c r="A1073" s="73" t="inlineStr">
        <is>
          <t>100122-1</t>
        </is>
      </c>
      <c r="B1073" t="inlineStr">
        <is>
          <t>CUADROS, BRANDAN LUCAS</t>
        </is>
      </c>
    </row>
    <row r="1074">
      <c r="A1074" s="74" t="n">
        <v>500032</v>
      </c>
      <c r="B1074" t="inlineStr">
        <is>
          <t>ROBJOR LTDA.</t>
        </is>
      </c>
    </row>
    <row r="1075">
      <c r="A1075" s="73" t="inlineStr">
        <is>
          <t>100628-7</t>
        </is>
      </c>
      <c r="B1075" t="inlineStr">
        <is>
          <t>FRANCOR S.R.L.</t>
        </is>
      </c>
    </row>
    <row r="1076">
      <c r="A1076" s="74" t="n">
        <v>500070</v>
      </c>
      <c r="B1076" t="inlineStr">
        <is>
          <t>VICTORICA ALTEZ GABRIELA CHANE</t>
        </is>
      </c>
    </row>
    <row r="1077">
      <c r="A1077" s="74" t="n">
        <v>100505</v>
      </c>
      <c r="B1077" t="inlineStr">
        <is>
          <t>RODRIGUEZ, JULIETA</t>
        </is>
      </c>
    </row>
    <row r="1078">
      <c r="A1078" s="74" t="n">
        <v>100564</v>
      </c>
      <c r="B1078" t="inlineStr">
        <is>
          <t>RACH, GLENDA DESIREE</t>
        </is>
      </c>
    </row>
    <row r="1079">
      <c r="A1079" s="73" t="inlineStr">
        <is>
          <t>100082-1</t>
        </is>
      </c>
      <c r="B1079" t="inlineStr">
        <is>
          <t>FERRANDO, MIGUEL ANGEL</t>
        </is>
      </c>
    </row>
    <row r="1080">
      <c r="A1080" s="73" t="inlineStr">
        <is>
          <t>101179-1</t>
        </is>
      </c>
      <c r="B1080" t="inlineStr">
        <is>
          <t>COLONBERO TIZIANA PATRICIA</t>
        </is>
      </c>
    </row>
    <row r="1081">
      <c r="A1081" s="74" t="n">
        <v>100043</v>
      </c>
      <c r="B1081" t="inlineStr">
        <is>
          <t>FERRAN, LEONARDO PABLO</t>
        </is>
      </c>
    </row>
    <row r="1082">
      <c r="A1082" s="73" t="inlineStr">
        <is>
          <t>100666-2</t>
        </is>
      </c>
      <c r="B1082" t="inlineStr">
        <is>
          <t>HELPAROS S.R.L.</t>
        </is>
      </c>
    </row>
    <row r="1083">
      <c r="A1083" s="74" t="n">
        <v>100682</v>
      </c>
      <c r="B1083" t="inlineStr">
        <is>
          <t>DINASTIA ITALIANA S.R.L.</t>
        </is>
      </c>
    </row>
    <row r="1084">
      <c r="A1084" s="74" t="n">
        <v>100460</v>
      </c>
      <c r="B1084" t="inlineStr">
        <is>
          <t>COCCO, NORMA ANDREA PIERINA</t>
        </is>
      </c>
    </row>
    <row r="1085">
      <c r="A1085" s="73" t="inlineStr">
        <is>
          <t>100205-2</t>
        </is>
      </c>
      <c r="B1085" t="inlineStr">
        <is>
          <t>SPIES WALTER GERMAN</t>
        </is>
      </c>
    </row>
    <row r="1086">
      <c r="A1086" s="74" t="n">
        <v>100405</v>
      </c>
      <c r="B1086" t="inlineStr">
        <is>
          <t>BOTELLO, MARTA FRANCISCA</t>
        </is>
      </c>
    </row>
    <row r="1087">
      <c r="A1087" s="74" t="n">
        <v>101285</v>
      </c>
      <c r="B1087" t="inlineStr">
        <is>
          <t>BALSAMO BARBARA FERNANDA</t>
        </is>
      </c>
    </row>
    <row r="1088">
      <c r="A1088" s="73" t="inlineStr">
        <is>
          <t>100094-1</t>
        </is>
      </c>
      <c r="B1088" t="inlineStr">
        <is>
          <t>RAMALLO, JOSE SALOMON OCAÑO</t>
        </is>
      </c>
    </row>
    <row r="1089">
      <c r="A1089" s="73" t="inlineStr">
        <is>
          <t>100132-1</t>
        </is>
      </c>
      <c r="B1089" t="inlineStr">
        <is>
          <t>HERRERA, DANIEL EDGARDO</t>
        </is>
      </c>
    </row>
    <row r="1090">
      <c r="A1090" s="73" t="inlineStr">
        <is>
          <t>100125-1</t>
        </is>
      </c>
      <c r="B1090" t="inlineStr">
        <is>
          <t>RUIZ JORGE ALEJANDRO</t>
        </is>
      </c>
    </row>
    <row r="1091">
      <c r="A1091" s="74" t="n">
        <v>100124</v>
      </c>
      <c r="B1091" t="inlineStr">
        <is>
          <t>RIVAS, GUILLERMO MANUEL</t>
        </is>
      </c>
    </row>
    <row r="1092">
      <c r="A1092" s="73" t="inlineStr">
        <is>
          <t>100122-2</t>
        </is>
      </c>
      <c r="B1092" t="inlineStr">
        <is>
          <t>CUADROS, BRANDAN LUCAS</t>
        </is>
      </c>
    </row>
    <row r="1093">
      <c r="A1093" s="73" t="inlineStr">
        <is>
          <t>100694-2</t>
        </is>
      </c>
      <c r="B1093" t="inlineStr">
        <is>
          <t>LESSER SALTA S.R.L.</t>
        </is>
      </c>
    </row>
    <row r="1094">
      <c r="A1094" s="74" t="n">
        <v>100681</v>
      </c>
      <c r="B1094" t="inlineStr">
        <is>
          <t>GUALABAUSA S.A.</t>
        </is>
      </c>
    </row>
    <row r="1095">
      <c r="A1095" s="74" t="n">
        <v>100769</v>
      </c>
      <c r="B1095" t="inlineStr">
        <is>
          <t>GRUPO POTENZA S.R.L.</t>
        </is>
      </c>
    </row>
    <row r="1096">
      <c r="A1096" s="74" t="n">
        <v>100675</v>
      </c>
      <c r="B1096" t="inlineStr">
        <is>
          <t>TAUFIK S.R.L.</t>
        </is>
      </c>
    </row>
    <row r="1097">
      <c r="A1097" s="73" t="inlineStr">
        <is>
          <t>100165-1</t>
        </is>
      </c>
      <c r="B1097" t="inlineStr">
        <is>
          <t>CHAVEZ, SERGIO DARIO</t>
        </is>
      </c>
    </row>
    <row r="1098">
      <c r="A1098" s="74" t="n">
        <v>100038</v>
      </c>
      <c r="B1098" t="inlineStr">
        <is>
          <t>LIRA HERNAN ALEJANDRO</t>
        </is>
      </c>
    </row>
    <row r="1099">
      <c r="A1099" s="73" t="inlineStr">
        <is>
          <t>100755-1</t>
        </is>
      </c>
      <c r="B1099" t="inlineStr">
        <is>
          <t>FRESH POINT S.R.L.</t>
        </is>
      </c>
    </row>
    <row r="1100">
      <c r="A1100" s="73" t="inlineStr">
        <is>
          <t>100185-3</t>
        </is>
      </c>
      <c r="B1100" t="inlineStr">
        <is>
          <t>GALVAN OSCAR PABLO MATIAS</t>
        </is>
      </c>
    </row>
    <row r="1101">
      <c r="A1101" s="74" t="n">
        <v>100715</v>
      </c>
      <c r="B1101" t="inlineStr">
        <is>
          <t>LONATA S.R.L.</t>
        </is>
      </c>
    </row>
    <row r="1102">
      <c r="A1102" s="74" t="n">
        <v>100270</v>
      </c>
      <c r="B1102" t="inlineStr">
        <is>
          <t>KAPPES, JULIO NAHUEL</t>
        </is>
      </c>
    </row>
    <row r="1103">
      <c r="A1103" s="74" t="n">
        <v>100226</v>
      </c>
      <c r="B1103" t="inlineStr">
        <is>
          <t>FERNANDEZ, DAMIAN ALBERTO</t>
        </is>
      </c>
    </row>
    <row r="1104">
      <c r="A1104" s="74" t="n">
        <v>100071</v>
      </c>
      <c r="B1104" t="inlineStr">
        <is>
          <t>TORRES, MARCELO HERNAN</t>
        </is>
      </c>
    </row>
    <row r="1105">
      <c r="A1105" s="74" t="n">
        <v>100685</v>
      </c>
      <c r="B1105" t="inlineStr">
        <is>
          <t>GAHUELPAN S.R.L.</t>
        </is>
      </c>
    </row>
    <row r="1106">
      <c r="A1106" s="74" t="n">
        <v>100134</v>
      </c>
      <c r="B1106" t="inlineStr">
        <is>
          <t>CORTES, PABLO LUCIANO</t>
        </is>
      </c>
    </row>
    <row r="1107">
      <c r="A1107" s="73" t="inlineStr">
        <is>
          <t>100623-5</t>
        </is>
      </c>
      <c r="B1107" t="inlineStr">
        <is>
          <t>H Y G S.R.L.</t>
        </is>
      </c>
    </row>
    <row r="1108">
      <c r="A1108" s="74" t="n">
        <v>100677</v>
      </c>
      <c r="B1108" t="inlineStr">
        <is>
          <t>HERAN S.R.L.</t>
        </is>
      </c>
    </row>
    <row r="1109">
      <c r="A1109" s="74" t="n">
        <v>100537</v>
      </c>
      <c r="B1109" t="inlineStr">
        <is>
          <t>NONINO, ROMINA</t>
        </is>
      </c>
    </row>
    <row r="1110">
      <c r="A1110" s="74" t="n">
        <v>101090</v>
      </c>
      <c r="B1110" t="inlineStr">
        <is>
          <t>VACCARO, ANDREA VERONICA</t>
        </is>
      </c>
    </row>
    <row r="1111">
      <c r="A1111" s="74" t="n">
        <v>600006</v>
      </c>
      <c r="B1111" t="inlineStr">
        <is>
          <t>RUTA SERVICE CARRETERAS LTDA.</t>
        </is>
      </c>
    </row>
    <row r="1112">
      <c r="A1112" s="74" t="n">
        <v>600012</v>
      </c>
      <c r="B1112" t="inlineStr">
        <is>
          <t>MULTI MARCA DNG SPA</t>
        </is>
      </c>
    </row>
    <row r="1113">
      <c r="A1113" s="74" t="n">
        <v>100407</v>
      </c>
      <c r="B1113" t="inlineStr">
        <is>
          <t>BRUNA, MARIANA PAOLA</t>
        </is>
      </c>
    </row>
    <row r="1114">
      <c r="A1114" s="74" t="n">
        <v>100180</v>
      </c>
      <c r="B1114" t="inlineStr">
        <is>
          <t>LEGORBURU, LUIS MARCELO</t>
        </is>
      </c>
    </row>
    <row r="1115">
      <c r="A1115" s="74" t="n">
        <v>100493</v>
      </c>
      <c r="B1115" t="inlineStr">
        <is>
          <t>ALIMENTI, MARIA FLORENCIA</t>
        </is>
      </c>
    </row>
    <row r="1116">
      <c r="A1116" s="73" t="inlineStr">
        <is>
          <t>100179-1</t>
        </is>
      </c>
      <c r="B1116" t="inlineStr">
        <is>
          <t>CARRARA, MARCELO ANGEL</t>
        </is>
      </c>
    </row>
    <row r="1117">
      <c r="A1117" s="73" t="inlineStr">
        <is>
          <t>101302-3</t>
        </is>
      </c>
      <c r="B1117" t="inlineStr">
        <is>
          <t>MABAIG S.A.S.</t>
        </is>
      </c>
    </row>
    <row r="1118">
      <c r="A1118" s="73" t="inlineStr">
        <is>
          <t>100426-1</t>
        </is>
      </c>
      <c r="B1118" t="inlineStr">
        <is>
          <t>LOPEZ, ADRIANA CRISTINA</t>
        </is>
      </c>
    </row>
    <row r="1119">
      <c r="A1119" s="74" t="n">
        <v>100162</v>
      </c>
      <c r="B1119" t="inlineStr">
        <is>
          <t>GARILLO, LEANDRO FEDERICO</t>
        </is>
      </c>
    </row>
    <row r="1120">
      <c r="A1120" s="73" t="inlineStr">
        <is>
          <t>100722-3</t>
        </is>
      </c>
      <c r="B1120" t="inlineStr">
        <is>
          <t>CELA SOCIEDAD ANONIMA</t>
        </is>
      </c>
    </row>
    <row r="1121">
      <c r="A1121" s="73" t="inlineStr">
        <is>
          <t>100604-1</t>
        </is>
      </c>
      <c r="B1121" t="inlineStr">
        <is>
          <t>PRETER SA</t>
        </is>
      </c>
    </row>
    <row r="1122">
      <c r="A1122" s="73" t="inlineStr">
        <is>
          <t>101084-6</t>
        </is>
      </c>
      <c r="B1122" t="inlineStr">
        <is>
          <t>TWIN S.R.L.</t>
        </is>
      </c>
    </row>
    <row r="1123">
      <c r="A1123" s="73" t="inlineStr">
        <is>
          <t>101084-7</t>
        </is>
      </c>
      <c r="B1123" t="inlineStr">
        <is>
          <t>TWIN S.R.L.</t>
        </is>
      </c>
    </row>
    <row r="1124">
      <c r="A1124" s="74" t="n">
        <v>100197</v>
      </c>
      <c r="B1124" t="inlineStr">
        <is>
          <t>FERNANDEZ, EDGARDO IVAN</t>
        </is>
      </c>
    </row>
    <row r="1125">
      <c r="A1125" s="74" t="n">
        <v>100434</v>
      </c>
      <c r="B1125" t="inlineStr">
        <is>
          <t>MOGLIA, CAROLINA JULIETA LETIC</t>
        </is>
      </c>
    </row>
    <row r="1126">
      <c r="A1126" s="74" t="n">
        <v>100429</v>
      </c>
      <c r="B1126" t="inlineStr">
        <is>
          <t>OYHENART, MARIA VIRGINIA</t>
        </is>
      </c>
    </row>
    <row r="1127">
      <c r="A1127" s="74" t="n">
        <v>100022</v>
      </c>
      <c r="B1127" t="inlineStr">
        <is>
          <t>DORSH, AURELIO ARTURO</t>
        </is>
      </c>
    </row>
    <row r="1128">
      <c r="A1128" s="73" t="inlineStr">
        <is>
          <t>100596-2</t>
        </is>
      </c>
      <c r="B1128" t="inlineStr">
        <is>
          <t>NOVAG S.R.L.</t>
        </is>
      </c>
    </row>
    <row r="1129">
      <c r="A1129" s="73" t="inlineStr">
        <is>
          <t>100295-1</t>
        </is>
      </c>
      <c r="B1129" t="inlineStr">
        <is>
          <t>FRANCIONI ANA ROSA</t>
        </is>
      </c>
    </row>
    <row r="1130">
      <c r="A1130" s="74" t="n">
        <v>100331</v>
      </c>
      <c r="B1130" t="inlineStr">
        <is>
          <t>VALLASCIANI, LEANDRO</t>
        </is>
      </c>
    </row>
    <row r="1131">
      <c r="A1131" s="73" t="inlineStr">
        <is>
          <t>100120-1</t>
        </is>
      </c>
      <c r="B1131" t="inlineStr">
        <is>
          <t>CHENA, LUIS MARCELO</t>
        </is>
      </c>
    </row>
    <row r="1132">
      <c r="A1132" s="74" t="n">
        <v>100437</v>
      </c>
      <c r="B1132" t="inlineStr">
        <is>
          <t>SARAVIA, GABRIELA LOURDES</t>
        </is>
      </c>
    </row>
    <row r="1133">
      <c r="A1133" s="73" t="inlineStr">
        <is>
          <t>100597-7</t>
        </is>
      </c>
      <c r="B1133" t="inlineStr">
        <is>
          <t>LE GLACIER SRL</t>
        </is>
      </c>
    </row>
    <row r="1134">
      <c r="A1134" s="73" t="inlineStr">
        <is>
          <t>100602-2</t>
        </is>
      </c>
      <c r="B1134" t="inlineStr">
        <is>
          <t>ULTRACONGELADOS DEL NOA S.R.L.</t>
        </is>
      </c>
    </row>
    <row r="1135">
      <c r="A1135" s="73" t="inlineStr">
        <is>
          <t>100607-3</t>
        </is>
      </c>
      <c r="B1135" t="inlineStr">
        <is>
          <t>3MAKA TANDIL S.R.L.</t>
        </is>
      </c>
    </row>
    <row r="1136">
      <c r="A1136" s="73" t="inlineStr">
        <is>
          <t>100632-2</t>
        </is>
      </c>
      <c r="B1136" t="inlineStr">
        <is>
          <t>GONZALO RUIZ Y SALVADOR FERRER</t>
        </is>
      </c>
    </row>
    <row r="1137">
      <c r="A1137" s="74" t="n">
        <v>100773</v>
      </c>
      <c r="B1137" t="inlineStr">
        <is>
          <t>MATILEA GASTRONOMIA S.R.L.</t>
        </is>
      </c>
    </row>
    <row r="1138">
      <c r="A1138" s="74" t="n">
        <v>100475</v>
      </c>
      <c r="B1138" t="inlineStr">
        <is>
          <t>PERONI, IRIS ANALIA</t>
        </is>
      </c>
    </row>
    <row r="1139">
      <c r="A1139" s="74" t="n">
        <v>100236</v>
      </c>
      <c r="B1139" t="inlineStr">
        <is>
          <t>VALDEON, FACUNDO OMAR</t>
        </is>
      </c>
    </row>
    <row r="1140">
      <c r="A1140" s="73" t="inlineStr">
        <is>
          <t>100723-1</t>
        </is>
      </c>
      <c r="B1140" t="inlineStr">
        <is>
          <t>SUDESTE SB S.R.L.</t>
        </is>
      </c>
    </row>
    <row r="1141">
      <c r="A1141" s="74" t="n">
        <v>101334</v>
      </c>
      <c r="B1141" t="inlineStr">
        <is>
          <t>GUZMAN RAMIRO JORGE LUIS</t>
        </is>
      </c>
    </row>
    <row r="1142">
      <c r="A1142" s="73" t="inlineStr">
        <is>
          <t>100974-1</t>
        </is>
      </c>
      <c r="B1142" t="inlineStr">
        <is>
          <t>GRATEALOSPER S.R.L.</t>
        </is>
      </c>
    </row>
    <row r="1143">
      <c r="A1143" s="73" t="inlineStr">
        <is>
          <t>100042-1</t>
        </is>
      </c>
      <c r="B1143" t="inlineStr">
        <is>
          <t>BUSTELO, SANDRO ARIEL</t>
        </is>
      </c>
    </row>
    <row r="1144">
      <c r="A1144" s="74" t="n">
        <v>100430</v>
      </c>
      <c r="B1144" t="inlineStr">
        <is>
          <t>PESCIO, VERONICA SILVIA</t>
        </is>
      </c>
    </row>
    <row r="1145">
      <c r="A1145" s="74" t="n">
        <v>100688</v>
      </c>
      <c r="B1145" t="inlineStr">
        <is>
          <t>DITTO S.R.L.</t>
        </is>
      </c>
    </row>
    <row r="1146">
      <c r="A1146" s="73" t="inlineStr">
        <is>
          <t>100032-1</t>
        </is>
      </c>
      <c r="B1146" t="inlineStr">
        <is>
          <t>ZURRO, ALFREDO GABRIEL</t>
        </is>
      </c>
    </row>
    <row r="1147">
      <c r="A1147" s="74" t="n">
        <v>500016</v>
      </c>
      <c r="B1147" t="inlineStr">
        <is>
          <t>ALEJANDRO BRUCCOLERI DIAZ</t>
        </is>
      </c>
    </row>
    <row r="1148">
      <c r="A1148" s="74" t="n">
        <v>500045</v>
      </c>
      <c r="B1148" t="inlineStr">
        <is>
          <t>ADRICARM LIMITADA</t>
        </is>
      </c>
    </row>
    <row r="1149">
      <c r="A1149" s="74" t="n">
        <v>500020</v>
      </c>
      <c r="B1149" t="inlineStr">
        <is>
          <t>WASHINGTON ARIEL ANTUNES</t>
        </is>
      </c>
    </row>
    <row r="1150">
      <c r="A1150" s="74" t="n">
        <v>100559</v>
      </c>
      <c r="B1150" t="inlineStr">
        <is>
          <t>COSENTINO, GABRIELA</t>
        </is>
      </c>
    </row>
    <row r="1151">
      <c r="A1151" s="74" t="n">
        <v>500036</v>
      </c>
      <c r="B1151" t="inlineStr">
        <is>
          <t>PARENA S.R.L</t>
        </is>
      </c>
    </row>
    <row r="1152">
      <c r="A1152" s="74" t="n">
        <v>500044</v>
      </c>
      <c r="B1152" t="inlineStr">
        <is>
          <t>VERA TAMMARO ABAL</t>
        </is>
      </c>
    </row>
    <row r="1153">
      <c r="A1153" s="74" t="n">
        <v>500035</v>
      </c>
      <c r="B1153" t="inlineStr">
        <is>
          <t>GONZALEZ JUAN ISAIAS</t>
        </is>
      </c>
    </row>
    <row r="1154">
      <c r="A1154" s="73" t="inlineStr">
        <is>
          <t>100099-1</t>
        </is>
      </c>
      <c r="B1154" t="inlineStr">
        <is>
          <t>CIAVATTA, ALBERTO JAVIER</t>
        </is>
      </c>
    </row>
    <row r="1155">
      <c r="A1155" s="74" t="n">
        <v>101131</v>
      </c>
      <c r="B1155" t="inlineStr">
        <is>
          <t>FERMEDIN S.A.S</t>
        </is>
      </c>
    </row>
    <row r="1156">
      <c r="A1156" s="74" t="n">
        <v>100319</v>
      </c>
      <c r="B1156" t="inlineStr">
        <is>
          <t>PADRON, ROMINA INES</t>
        </is>
      </c>
    </row>
    <row r="1157">
      <c r="A1157" s="74" t="n">
        <v>100993</v>
      </c>
      <c r="B1157" t="inlineStr">
        <is>
          <t>GIMENEZ, LUIS MAURICIO</t>
        </is>
      </c>
    </row>
    <row r="1158">
      <c r="A1158" s="73" t="inlineStr">
        <is>
          <t>100658-1</t>
        </is>
      </c>
      <c r="B1158" t="inlineStr">
        <is>
          <t>JULYBER HNOS. S.R.L.</t>
        </is>
      </c>
    </row>
    <row r="1159">
      <c r="A1159" s="73" t="inlineStr">
        <is>
          <t>100706-2</t>
        </is>
      </c>
      <c r="B1159" t="inlineStr">
        <is>
          <t>ALMUZARA DISTRIBUCIONES S.R.L.</t>
        </is>
      </c>
    </row>
    <row r="1160">
      <c r="A1160" s="74" t="n">
        <v>101336</v>
      </c>
      <c r="B1160" t="inlineStr">
        <is>
          <t>COPPOLA ANTONELLA JUDIT</t>
        </is>
      </c>
    </row>
    <row r="1161">
      <c r="A1161" s="74" t="n">
        <v>100061</v>
      </c>
      <c r="B1161" t="inlineStr">
        <is>
          <t>TIZZIANI, JORGE LUIS</t>
        </is>
      </c>
    </row>
    <row r="1162">
      <c r="A1162" s="74" t="n">
        <v>100454</v>
      </c>
      <c r="B1162" t="inlineStr">
        <is>
          <t>SEMPRINI, VERONICA ESTHER LIDI</t>
        </is>
      </c>
    </row>
    <row r="1163">
      <c r="A1163" s="74" t="n">
        <v>100266</v>
      </c>
      <c r="B1163" t="inlineStr">
        <is>
          <t>VISCUSI ANDRES SEBASTIAN</t>
        </is>
      </c>
    </row>
    <row r="1164">
      <c r="A1164" s="73" t="inlineStr">
        <is>
          <t>100612-3</t>
        </is>
      </c>
      <c r="B1164" t="inlineStr">
        <is>
          <t>DE PABLOS S.R.L.</t>
        </is>
      </c>
    </row>
    <row r="1165">
      <c r="A1165" s="73" t="inlineStr">
        <is>
          <t>101247-1</t>
        </is>
      </c>
      <c r="B1165" t="inlineStr">
        <is>
          <t>RUEDA GUSTAVO ANDRES</t>
        </is>
      </c>
    </row>
    <row r="1166">
      <c r="A1166" s="73" t="inlineStr">
        <is>
          <t>100644-1</t>
        </is>
      </c>
      <c r="B1166" t="inlineStr">
        <is>
          <t>HELASUR S.R.L.</t>
        </is>
      </c>
    </row>
    <row r="1167">
      <c r="A1167" s="73" t="inlineStr">
        <is>
          <t>100644-2</t>
        </is>
      </c>
      <c r="B1167" t="inlineStr">
        <is>
          <t>HELASUR S.R.L.</t>
        </is>
      </c>
    </row>
    <row r="1168">
      <c r="A1168" s="74" t="n">
        <v>100256</v>
      </c>
      <c r="B1168" t="inlineStr">
        <is>
          <t>MARTHI, JOSE MARIA</t>
        </is>
      </c>
    </row>
    <row r="1169">
      <c r="A1169" s="74" t="n">
        <v>100398</v>
      </c>
      <c r="B1169" t="inlineStr">
        <is>
          <t>BORIS LILIANA MARGARITA DEL VA</t>
        </is>
      </c>
    </row>
    <row r="1170">
      <c r="A1170" s="73" t="inlineStr">
        <is>
          <t>100909-1</t>
        </is>
      </c>
      <c r="B1170" t="inlineStr">
        <is>
          <t>PADRON SOUSA LEANDRO GABRIEL</t>
        </is>
      </c>
    </row>
    <row r="1171">
      <c r="A1171" s="74" t="n">
        <v>100091</v>
      </c>
      <c r="B1171" t="inlineStr">
        <is>
          <t>VENTRICI ALEJANDRO DANIEL</t>
        </is>
      </c>
    </row>
    <row r="1172">
      <c r="A1172" s="74" t="n">
        <v>101009</v>
      </c>
      <c r="B1172" t="inlineStr">
        <is>
          <t>CONGELADOS RINCON S.A.</t>
        </is>
      </c>
    </row>
    <row r="1173">
      <c r="A1173" s="73" t="inlineStr">
        <is>
          <t>100354-3</t>
        </is>
      </c>
      <c r="B1173" t="inlineStr">
        <is>
          <t>MINIUSSI, FLORENCIA MARIA</t>
        </is>
      </c>
    </row>
    <row r="1174">
      <c r="A1174" s="73" t="inlineStr">
        <is>
          <t>100903-1</t>
        </is>
      </c>
      <c r="B1174" t="inlineStr">
        <is>
          <t>SCHIRO, MARIELA LUJAN</t>
        </is>
      </c>
    </row>
    <row r="1175">
      <c r="A1175" s="73" t="inlineStr">
        <is>
          <t>100511-1</t>
        </is>
      </c>
      <c r="B1175" t="inlineStr">
        <is>
          <t>DANIELSEN, MARIA FERNANDA</t>
        </is>
      </c>
    </row>
    <row r="1176">
      <c r="A1176" s="73" t="inlineStr">
        <is>
          <t>100642-6</t>
        </is>
      </c>
      <c r="B1176" t="inlineStr">
        <is>
          <t>CONSTANTINO S.R.L.</t>
        </is>
      </c>
    </row>
    <row r="1177">
      <c r="A1177" s="73" t="inlineStr">
        <is>
          <t>100706-4</t>
        </is>
      </c>
      <c r="B1177" t="inlineStr">
        <is>
          <t>ALMUZARA DISTRIBUCIONES S.R.L.</t>
        </is>
      </c>
    </row>
    <row r="1178">
      <c r="A1178" s="74" t="n">
        <v>100176</v>
      </c>
      <c r="B1178" t="inlineStr">
        <is>
          <t>BARBERIS GAYA, SEBASTIAN</t>
        </is>
      </c>
    </row>
    <row r="1179">
      <c r="A1179" s="74" t="n">
        <v>600030</v>
      </c>
      <c r="B1179" t="inlineStr">
        <is>
          <t>HELADERIA MAXIMILIANO LUIS VAI</t>
        </is>
      </c>
    </row>
    <row r="1180">
      <c r="A1180" s="74" t="n">
        <v>600004</v>
      </c>
      <c r="B1180" t="inlineStr">
        <is>
          <t>EUROGEN S.A.</t>
        </is>
      </c>
    </row>
    <row r="1181">
      <c r="A1181" s="74" t="n">
        <v>100749</v>
      </c>
      <c r="B1181" t="inlineStr">
        <is>
          <t>COLOMBRES SUR 590 S.A.</t>
        </is>
      </c>
    </row>
    <row r="1182">
      <c r="A1182" s="73" t="inlineStr">
        <is>
          <t>100767-2</t>
        </is>
      </c>
      <c r="B1182" t="inlineStr">
        <is>
          <t>PALO BLANCO S.R.L.</t>
        </is>
      </c>
    </row>
    <row r="1183">
      <c r="A1183" s="74" t="n">
        <v>100467</v>
      </c>
      <c r="B1183" t="inlineStr">
        <is>
          <t>DIAZ, GISELE VERONICA</t>
        </is>
      </c>
    </row>
    <row r="1184">
      <c r="A1184" s="73" t="inlineStr">
        <is>
          <t>100199-1</t>
        </is>
      </c>
      <c r="B1184" t="inlineStr">
        <is>
          <t>OROS SEBASTIAN ANTONIO</t>
        </is>
      </c>
    </row>
    <row r="1185">
      <c r="A1185" s="73" t="inlineStr">
        <is>
          <t>101084-8</t>
        </is>
      </c>
      <c r="B1185" t="inlineStr">
        <is>
          <t>TWIN S.R.L.</t>
        </is>
      </c>
    </row>
    <row r="1186">
      <c r="A1186" s="74" t="n">
        <v>500011</v>
      </c>
      <c r="B1186" t="inlineStr">
        <is>
          <t>FABIÁN LASALT SILVERA</t>
        </is>
      </c>
    </row>
    <row r="1187">
      <c r="A1187" s="74" t="n">
        <v>500023</v>
      </c>
      <c r="B1187" t="inlineStr">
        <is>
          <t>DIEGO PEREZ ZARATE</t>
        </is>
      </c>
    </row>
    <row r="1188">
      <c r="A1188" s="74" t="n">
        <v>500021</v>
      </c>
      <c r="B1188" t="inlineStr">
        <is>
          <t>LEIVA GEA IGNACIO SEBASTIÁN</t>
        </is>
      </c>
    </row>
    <row r="1189">
      <c r="A1189" s="74" t="n">
        <v>500010</v>
      </c>
      <c r="B1189" t="inlineStr">
        <is>
          <t>DELICIAS HELADAS S.R.L</t>
        </is>
      </c>
    </row>
    <row r="1190">
      <c r="A1190" s="74" t="n">
        <v>500025</v>
      </c>
      <c r="B1190" t="inlineStr">
        <is>
          <t>LIDERLOS S.A.</t>
        </is>
      </c>
    </row>
    <row r="1191">
      <c r="A1191" s="74" t="n">
        <v>100063</v>
      </c>
      <c r="B1191" t="inlineStr">
        <is>
          <t>ALIPPI, MARIO JAVIER</t>
        </is>
      </c>
    </row>
    <row r="1192">
      <c r="A1192" s="73" t="inlineStr">
        <is>
          <t>100684-1</t>
        </is>
      </c>
      <c r="B1192" t="inlineStr">
        <is>
          <t>RETIA S.R.L</t>
        </is>
      </c>
    </row>
    <row r="1193">
      <c r="A1193" s="74" t="n">
        <v>500028</v>
      </c>
      <c r="B1193" t="inlineStr">
        <is>
          <t>PABLO MAGRIS</t>
        </is>
      </c>
    </row>
    <row r="1194">
      <c r="A1194" s="74" t="n">
        <v>500057</v>
      </c>
      <c r="B1194" t="inlineStr">
        <is>
          <t>LA VACA LOCA S.R.L.</t>
        </is>
      </c>
    </row>
    <row r="1195">
      <c r="A1195" s="73" t="inlineStr">
        <is>
          <t>100230-1</t>
        </is>
      </c>
      <c r="B1195" t="inlineStr">
        <is>
          <t>CAPDEVILA GABRIEL EDUARDO</t>
        </is>
      </c>
    </row>
    <row r="1196">
      <c r="A1196" s="74" t="n">
        <v>100502</v>
      </c>
      <c r="B1196" t="inlineStr">
        <is>
          <t>GUTIERREZ, LARA GABRIELA</t>
        </is>
      </c>
    </row>
    <row r="1197">
      <c r="A1197" s="74" t="n">
        <v>100337</v>
      </c>
      <c r="B1197" t="inlineStr">
        <is>
          <t>MANSILLA VERA, LUCAS DANIEL</t>
        </is>
      </c>
    </row>
    <row r="1198">
      <c r="A1198" s="73" t="inlineStr">
        <is>
          <t>100589-1</t>
        </is>
      </c>
      <c r="B1198" t="inlineStr">
        <is>
          <t>PILARES SOCIEDAD DE RESPONSABI</t>
        </is>
      </c>
    </row>
    <row r="1199">
      <c r="A1199" s="74" t="n">
        <v>100157</v>
      </c>
      <c r="B1199" t="inlineStr">
        <is>
          <t>CARDARELLI BASAVILBASO, FEDERI</t>
        </is>
      </c>
    </row>
    <row r="1200">
      <c r="A1200" s="74" t="n">
        <v>100408</v>
      </c>
      <c r="B1200" t="inlineStr">
        <is>
          <t>ALFONZO, ALEJANDRA PATRICIA</t>
        </is>
      </c>
    </row>
    <row r="1201">
      <c r="A1201" s="73" t="inlineStr">
        <is>
          <t>100715-1</t>
        </is>
      </c>
      <c r="B1201" t="inlineStr">
        <is>
          <t>LONATA S.R.L.</t>
        </is>
      </c>
    </row>
    <row r="1202">
      <c r="A1202" s="73" t="inlineStr">
        <is>
          <t>100152-1</t>
        </is>
      </c>
      <c r="B1202" t="inlineStr">
        <is>
          <t>HEREDIA, PABLO ALBERTO</t>
        </is>
      </c>
    </row>
    <row r="1203">
      <c r="A1203" s="74" t="n">
        <v>100575</v>
      </c>
      <c r="B1203" t="inlineStr">
        <is>
          <t>LAGORIA, GRACIELA NOEMI</t>
        </is>
      </c>
    </row>
    <row r="1204">
      <c r="A1204" s="74" t="n">
        <v>100485</v>
      </c>
      <c r="B1204" t="inlineStr">
        <is>
          <t>ALVAREZ, VANESA SOLEDAD</t>
        </is>
      </c>
    </row>
    <row r="1205">
      <c r="A1205" s="74" t="n">
        <v>101113</v>
      </c>
      <c r="B1205" t="inlineStr">
        <is>
          <t>TITITI CREMAS HELADAS S.A.</t>
        </is>
      </c>
    </row>
    <row r="1206">
      <c r="A1206" s="74" t="n">
        <v>500005</v>
      </c>
      <c r="B1206" t="inlineStr">
        <is>
          <t>ZBS S.R.L.</t>
        </is>
      </c>
    </row>
    <row r="1207">
      <c r="A1207" s="74" t="n">
        <v>100916</v>
      </c>
      <c r="B1207" t="inlineStr">
        <is>
          <t>BITGONZ S.A. (En Formación)</t>
        </is>
      </c>
    </row>
    <row r="1208">
      <c r="A1208" s="73" t="inlineStr">
        <is>
          <t>100675-1</t>
        </is>
      </c>
      <c r="B1208" t="inlineStr">
        <is>
          <t>TAUFIK S.R.L.</t>
        </is>
      </c>
    </row>
    <row r="1209">
      <c r="A1209" s="74" t="n">
        <v>600023</v>
      </c>
      <c r="B1209" t="inlineStr">
        <is>
          <t>COM FEDERICO ROBINSON LA</t>
        </is>
      </c>
    </row>
    <row r="1210">
      <c r="A1210" s="74" t="n">
        <v>600076</v>
      </c>
      <c r="B1210" t="inlineStr">
        <is>
          <t>COM ALICANTE</t>
        </is>
      </c>
    </row>
    <row r="1211">
      <c r="A1211" s="74" t="n">
        <v>600005</v>
      </c>
      <c r="B1211" t="inlineStr">
        <is>
          <t>HELADERIAS V&amp;P LIMITADA</t>
        </is>
      </c>
    </row>
    <row r="1212">
      <c r="A1212" s="74" t="n">
        <v>500039</v>
      </c>
      <c r="B1212" t="inlineStr">
        <is>
          <t>VERA DOGLIOTTI PERRONE</t>
        </is>
      </c>
    </row>
    <row r="1213">
      <c r="A1213" s="74" t="n">
        <v>100641</v>
      </c>
      <c r="B1213" t="inlineStr">
        <is>
          <t>BORGEANOS S.R.L.</t>
        </is>
      </c>
    </row>
    <row r="1214">
      <c r="A1214" s="73" t="inlineStr">
        <is>
          <t>100671-2</t>
        </is>
      </c>
      <c r="B1214" t="inlineStr">
        <is>
          <t>MARAGATO S.R.L.</t>
        </is>
      </c>
    </row>
    <row r="1215">
      <c r="A1215" s="73" t="inlineStr">
        <is>
          <t>101084-9</t>
        </is>
      </c>
      <c r="B1215" t="inlineStr">
        <is>
          <t>TWIN S.R.L.</t>
        </is>
      </c>
    </row>
    <row r="1216">
      <c r="A1216" s="74" t="n">
        <v>100707</v>
      </c>
      <c r="B1216" t="inlineStr">
        <is>
          <t>GARCIA F Y PEREYRO E S.H.</t>
        </is>
      </c>
    </row>
    <row r="1217">
      <c r="A1217" s="73" t="inlineStr">
        <is>
          <t>100682-1</t>
        </is>
      </c>
      <c r="B1217" t="inlineStr">
        <is>
          <t>DINASTIA ITALIANA S.R.L.</t>
        </is>
      </c>
    </row>
    <row r="1218">
      <c r="A1218" s="73" t="inlineStr">
        <is>
          <t>100636-2</t>
        </is>
      </c>
      <c r="B1218" t="inlineStr">
        <is>
          <t>LIMA MARIO D. Y ALAVA R. SERGI</t>
        </is>
      </c>
    </row>
    <row r="1219">
      <c r="A1219" s="74" t="n">
        <v>100119</v>
      </c>
      <c r="B1219" t="inlineStr">
        <is>
          <t>SKIBA, ROSENDO ADRIAN</t>
        </is>
      </c>
    </row>
    <row r="1220">
      <c r="A1220" s="74" t="n">
        <v>100710</v>
      </c>
      <c r="B1220" t="inlineStr">
        <is>
          <t>SABORES DULCES S.R.L.</t>
        </is>
      </c>
    </row>
    <row r="1221">
      <c r="A1221" s="73" t="inlineStr">
        <is>
          <t>100407-1</t>
        </is>
      </c>
      <c r="B1221" t="inlineStr">
        <is>
          <t>BRUNA, MARIANA PAOLA</t>
        </is>
      </c>
    </row>
    <row r="1222">
      <c r="A1222" s="73" t="inlineStr">
        <is>
          <t>100024-1</t>
        </is>
      </c>
      <c r="B1222" t="inlineStr">
        <is>
          <t>RODOLICO, PEDRO</t>
        </is>
      </c>
    </row>
    <row r="1223">
      <c r="A1223" s="74" t="n">
        <v>100792</v>
      </c>
      <c r="B1223" t="inlineStr">
        <is>
          <t>RIEDEL, GERMAN EZEQUIEL</t>
        </is>
      </c>
    </row>
    <row r="1224">
      <c r="A1224" s="73" t="inlineStr">
        <is>
          <t>100383-5</t>
        </is>
      </c>
      <c r="B1224" t="inlineStr">
        <is>
          <t>VILLEGAS, SUSANA ELIZABETH</t>
        </is>
      </c>
    </row>
    <row r="1225">
      <c r="A1225" s="74" t="n">
        <v>100166</v>
      </c>
      <c r="B1225" t="inlineStr">
        <is>
          <t>FERNANDEZ VILLALBA SANTIAGO HO</t>
        </is>
      </c>
    </row>
    <row r="1226">
      <c r="A1226" s="74" t="n">
        <v>101434</v>
      </c>
      <c r="B1226" t="inlineStr">
        <is>
          <t>QUINTEROS JULIETA LUJAN</t>
        </is>
      </c>
    </row>
    <row r="1227">
      <c r="A1227" s="74" t="n">
        <v>101288</v>
      </c>
      <c r="B1227" t="inlineStr">
        <is>
          <t>MR99DM S.R.L.</t>
        </is>
      </c>
    </row>
    <row r="1228">
      <c r="A1228" s="73" t="inlineStr">
        <is>
          <t>100769-1</t>
        </is>
      </c>
      <c r="B1228" t="inlineStr">
        <is>
          <t>GRUPO POTENZA S.R.L.</t>
        </is>
      </c>
    </row>
    <row r="1229">
      <c r="A1229" s="73" t="inlineStr">
        <is>
          <t>100505-1</t>
        </is>
      </c>
      <c r="B1229" t="inlineStr">
        <is>
          <t>RODRIGUEZ, JULIETA</t>
        </is>
      </c>
    </row>
    <row r="1230">
      <c r="A1230" s="73" t="inlineStr">
        <is>
          <t>100238-2</t>
        </is>
      </c>
      <c r="B1230" t="inlineStr">
        <is>
          <t>BUDEGUER, RODRIGO JOSE</t>
        </is>
      </c>
    </row>
    <row r="1231">
      <c r="A1231" s="74" t="n">
        <v>100045</v>
      </c>
      <c r="B1231" t="inlineStr">
        <is>
          <t>INGLES, CARLOS ALBERTO</t>
        </is>
      </c>
    </row>
    <row r="1232">
      <c r="A1232" s="74" t="n">
        <v>100557</v>
      </c>
      <c r="B1232" t="inlineStr">
        <is>
          <t>LO PINTO, DIORELLA GISELLE</t>
        </is>
      </c>
    </row>
    <row r="1233">
      <c r="A1233" s="73" t="inlineStr">
        <is>
          <t>100134-1</t>
        </is>
      </c>
      <c r="B1233" t="inlineStr">
        <is>
          <t>CORTES, PABLO LUCIANO</t>
        </is>
      </c>
    </row>
    <row r="1234">
      <c r="A1234" s="73" t="inlineStr">
        <is>
          <t>100768-1</t>
        </is>
      </c>
      <c r="B1234" t="inlineStr">
        <is>
          <t>BRUNO LISTA Y ROMAN S.R.L.</t>
        </is>
      </c>
    </row>
    <row r="1235">
      <c r="A1235" s="74" t="n">
        <v>100778</v>
      </c>
      <c r="B1235" t="inlineStr">
        <is>
          <t>MH HELADOS S.R.L.</t>
        </is>
      </c>
    </row>
    <row r="1236">
      <c r="A1236" s="73" t="inlineStr">
        <is>
          <t>100308-3</t>
        </is>
      </c>
      <c r="B1236" t="inlineStr">
        <is>
          <t>CACERES, AUGUSTO MARTIN</t>
        </is>
      </c>
    </row>
    <row r="1237">
      <c r="A1237" s="74" t="n">
        <v>100205</v>
      </c>
      <c r="B1237" t="inlineStr">
        <is>
          <t>SPIES WALTER GERMAN</t>
        </is>
      </c>
    </row>
    <row r="1238">
      <c r="A1238" s="73" t="inlineStr">
        <is>
          <t>100095-1</t>
        </is>
      </c>
      <c r="B1238" t="inlineStr">
        <is>
          <t>STECHINA, DARIO JULIAN</t>
        </is>
      </c>
    </row>
    <row r="1239">
      <c r="A1239" s="74" t="n">
        <v>101248</v>
      </c>
      <c r="B1239" t="inlineStr">
        <is>
          <t>TORELLO NOEL</t>
        </is>
      </c>
    </row>
    <row r="1240">
      <c r="A1240" s="74" t="n">
        <v>100712</v>
      </c>
      <c r="B1240" t="inlineStr">
        <is>
          <t>BASE SUR S.R.L.</t>
        </is>
      </c>
    </row>
    <row r="1241">
      <c r="A1241" s="74" t="n">
        <v>100190</v>
      </c>
      <c r="B1241" t="inlineStr">
        <is>
          <t>VILLAMAYOR, ALEJANDRO RAUL</t>
        </is>
      </c>
    </row>
    <row r="1242">
      <c r="A1242" s="73" t="inlineStr">
        <is>
          <t>100071-1</t>
        </is>
      </c>
      <c r="B1242" t="inlineStr">
        <is>
          <t>TORRES, MARCELO HERNAN</t>
        </is>
      </c>
    </row>
    <row r="1243">
      <c r="A1243" s="73" t="inlineStr">
        <is>
          <t>100226-1</t>
        </is>
      </c>
      <c r="B1243" t="inlineStr">
        <is>
          <t>FERNANDEZ, DAMIAN ALBERTO</t>
        </is>
      </c>
    </row>
    <row r="1244">
      <c r="A1244" s="74" t="n">
        <v>100827</v>
      </c>
      <c r="B1244" t="inlineStr">
        <is>
          <t>MARTINI Y MARTINI S.H.</t>
        </is>
      </c>
    </row>
    <row r="1245">
      <c r="A1245" s="73" t="inlineStr">
        <is>
          <t>100827-1</t>
        </is>
      </c>
      <c r="B1245" t="inlineStr">
        <is>
          <t>MARTINI Y MARTINI S.H.</t>
        </is>
      </c>
    </row>
    <row r="1246">
      <c r="A1246" s="73" t="inlineStr">
        <is>
          <t>100124-1</t>
        </is>
      </c>
      <c r="B1246" t="inlineStr">
        <is>
          <t>RIVAS, GUILLERMO MANUEL</t>
        </is>
      </c>
    </row>
    <row r="1247">
      <c r="A1247" s="73" t="inlineStr">
        <is>
          <t>101222-1</t>
        </is>
      </c>
      <c r="B1247" t="inlineStr">
        <is>
          <t>MONTIEL ALICIA ROMINA</t>
        </is>
      </c>
    </row>
    <row r="1248">
      <c r="A1248" s="74" t="n">
        <v>100555</v>
      </c>
      <c r="B1248" t="inlineStr">
        <is>
          <t>PERLO, MARIANELA</t>
        </is>
      </c>
    </row>
    <row r="1249">
      <c r="A1249" s="74" t="n">
        <v>101064</v>
      </c>
      <c r="B1249" t="inlineStr">
        <is>
          <t>IANNI, CHRISTIAN ALEJANDRO</t>
        </is>
      </c>
    </row>
    <row r="1250">
      <c r="A1250" s="73" t="inlineStr">
        <is>
          <t>100492-1</t>
        </is>
      </c>
      <c r="B1250" t="inlineStr">
        <is>
          <t>MESCALCHINI JULIETA CECILIA</t>
        </is>
      </c>
    </row>
    <row r="1251">
      <c r="A1251" s="73" t="inlineStr">
        <is>
          <t>100374-4</t>
        </is>
      </c>
      <c r="B1251" t="inlineStr">
        <is>
          <t>FERNANDEZ, ANA MARIA ELENA</t>
        </is>
      </c>
    </row>
    <row r="1252">
      <c r="A1252" s="73" t="inlineStr">
        <is>
          <t>100038-1</t>
        </is>
      </c>
      <c r="B1252" t="inlineStr">
        <is>
          <t>LIRA HERNAN ALEJANDRO</t>
        </is>
      </c>
    </row>
    <row r="1253">
      <c r="A1253" s="74" t="n">
        <v>500038</v>
      </c>
      <c r="B1253" t="inlineStr">
        <is>
          <t>EURODATA S.A</t>
        </is>
      </c>
    </row>
    <row r="1254">
      <c r="A1254" s="74" t="n">
        <v>500003</v>
      </c>
      <c r="B1254" t="inlineStr">
        <is>
          <t>D Y G ASOCIADOS S.R.L.</t>
        </is>
      </c>
    </row>
    <row r="1255">
      <c r="A1255" s="73" t="inlineStr">
        <is>
          <t>100756-5</t>
        </is>
      </c>
      <c r="B1255" t="inlineStr">
        <is>
          <t>MM CONGELADOS S.R.L.</t>
        </is>
      </c>
    </row>
    <row r="1256">
      <c r="A1256" s="74" t="n">
        <v>100751</v>
      </c>
      <c r="B1256" t="inlineStr">
        <is>
          <t>JEPOL HNOS. S.R.L.</t>
        </is>
      </c>
    </row>
    <row r="1257">
      <c r="A1257" s="73" t="inlineStr">
        <is>
          <t>100179-2</t>
        </is>
      </c>
      <c r="B1257" t="inlineStr">
        <is>
          <t>CARRARA, MARCELO ANGEL</t>
        </is>
      </c>
    </row>
    <row r="1258">
      <c r="A1258" s="74" t="n">
        <v>100553</v>
      </c>
      <c r="B1258" t="inlineStr">
        <is>
          <t>ESCOBEIRO, ANALIA MANUELA</t>
        </is>
      </c>
    </row>
    <row r="1259">
      <c r="A1259" s="74" t="n">
        <v>101235</v>
      </c>
      <c r="B1259" t="inlineStr">
        <is>
          <t>KLEIN NOELIA JUDITH</t>
        </is>
      </c>
    </row>
    <row r="1260">
      <c r="A1260" s="74" t="n">
        <v>100286</v>
      </c>
      <c r="B1260" t="inlineStr">
        <is>
          <t>GONZALEZ, MARTIN DANIEL</t>
        </is>
      </c>
    </row>
    <row r="1261">
      <c r="A1261" s="73" t="inlineStr">
        <is>
          <t>100116-1</t>
        </is>
      </c>
      <c r="B1261" t="inlineStr">
        <is>
          <t>DE COSTA, ALEJANDRO DIEGO</t>
        </is>
      </c>
    </row>
    <row r="1262">
      <c r="A1262" s="74" t="n">
        <v>100722</v>
      </c>
      <c r="B1262" t="inlineStr">
        <is>
          <t>CELA SOCIEDAD ANONIMA</t>
        </is>
      </c>
    </row>
    <row r="1263">
      <c r="A1263" s="74" t="n">
        <v>101040</v>
      </c>
      <c r="B1263" t="inlineStr">
        <is>
          <t>LEAMATI GASTRONOMIA SA</t>
        </is>
      </c>
    </row>
    <row r="1264">
      <c r="A1264" s="73" t="inlineStr">
        <is>
          <t>100645-2</t>
        </is>
      </c>
      <c r="B1264" t="inlineStr">
        <is>
          <t>CORRIENTES HELADAS S.R.L.</t>
        </is>
      </c>
    </row>
    <row r="1265">
      <c r="A1265" s="74" t="n">
        <v>500007</v>
      </c>
      <c r="B1265" t="inlineStr">
        <is>
          <t>GERVASIO S.R.L</t>
        </is>
      </c>
    </row>
    <row r="1266">
      <c r="A1266" s="73" t="inlineStr">
        <is>
          <t>100224-2</t>
        </is>
      </c>
      <c r="B1266" t="inlineStr">
        <is>
          <t>EMBRICI, MARCO</t>
        </is>
      </c>
    </row>
    <row r="1267">
      <c r="A1267" s="74" t="n">
        <v>100626</v>
      </c>
      <c r="B1267" t="inlineStr">
        <is>
          <t>LOBIAN S.R.L.</t>
        </is>
      </c>
    </row>
    <row r="1268">
      <c r="A1268" s="73" t="inlineStr">
        <is>
          <t>100434-1</t>
        </is>
      </c>
      <c r="B1268" t="inlineStr">
        <is>
          <t>MOGLIA, CAROLINA JULIETA LETIC</t>
        </is>
      </c>
    </row>
    <row r="1269">
      <c r="A1269" s="73" t="inlineStr">
        <is>
          <t>100434-2</t>
        </is>
      </c>
      <c r="B1269" t="inlineStr">
        <is>
          <t>MOGLIA, CAROLINA JULIETA LETIC</t>
        </is>
      </c>
    </row>
    <row r="1270">
      <c r="A1270" s="74" t="n">
        <v>100055</v>
      </c>
      <c r="B1270" t="inlineStr">
        <is>
          <t>CAZON, GUSTAVO NESTOR</t>
        </is>
      </c>
    </row>
    <row r="1271">
      <c r="A1271" s="73" t="inlineStr">
        <is>
          <t>100132-2</t>
        </is>
      </c>
      <c r="B1271" t="inlineStr">
        <is>
          <t>HERRERA, DANIEL EDGARDO</t>
        </is>
      </c>
    </row>
    <row r="1272">
      <c r="A1272" s="73" t="inlineStr">
        <is>
          <t>100546-2</t>
        </is>
      </c>
      <c r="B1272" t="inlineStr">
        <is>
          <t>CEJAS, MARIANA GISELLE</t>
        </is>
      </c>
    </row>
    <row r="1273">
      <c r="A1273" s="73" t="inlineStr">
        <is>
          <t>100281-1</t>
        </is>
      </c>
      <c r="B1273" t="inlineStr">
        <is>
          <t>AICARDI, ZBOINSKY JAVIER</t>
        </is>
      </c>
    </row>
    <row r="1274">
      <c r="A1274" s="73" t="inlineStr">
        <is>
          <t>100058-3</t>
        </is>
      </c>
      <c r="B1274" t="inlineStr">
        <is>
          <t>PALACIOS, CARLOS GUILLERMO</t>
        </is>
      </c>
    </row>
    <row r="1275">
      <c r="A1275" s="73" t="inlineStr">
        <is>
          <t>100602-5</t>
        </is>
      </c>
      <c r="B1275" t="inlineStr">
        <is>
          <t>ULTRACONGELADOS DEL NOA S.R.L.</t>
        </is>
      </c>
    </row>
    <row r="1276">
      <c r="A1276" s="73" t="inlineStr">
        <is>
          <t>100405-1</t>
        </is>
      </c>
      <c r="B1276" t="inlineStr">
        <is>
          <t>BOTELLO, MARTA FRANCISCA</t>
        </is>
      </c>
    </row>
    <row r="1277">
      <c r="A1277" s="73" t="inlineStr">
        <is>
          <t>100744-1</t>
        </is>
      </c>
      <c r="B1277" t="inlineStr">
        <is>
          <t>ARTURO ILLIA SUR 3877 S.A.</t>
        </is>
      </c>
    </row>
    <row r="1278">
      <c r="A1278" s="74" t="n">
        <v>100057</v>
      </c>
      <c r="B1278" t="inlineStr">
        <is>
          <t>PEREYRA, MARCELO ANTONIO</t>
        </is>
      </c>
    </row>
    <row r="1279">
      <c r="A1279" s="74" t="n">
        <v>100169</v>
      </c>
      <c r="B1279" t="inlineStr">
        <is>
          <t>REIG, MAXIMILIANO JAVIER</t>
        </is>
      </c>
    </row>
    <row r="1280">
      <c r="A1280" s="74" t="n">
        <v>100260</v>
      </c>
      <c r="B1280" t="inlineStr">
        <is>
          <t>LEGUIZAMON, HUGO HERNAN</t>
        </is>
      </c>
    </row>
    <row r="1281">
      <c r="A1281" s="73" t="inlineStr">
        <is>
          <t>100890-1</t>
        </is>
      </c>
      <c r="B1281" t="inlineStr">
        <is>
          <t>SANTA FE SUR 368 S.A.</t>
        </is>
      </c>
    </row>
    <row r="1282">
      <c r="A1282" s="73" t="inlineStr">
        <is>
          <t>100313-1</t>
        </is>
      </c>
      <c r="B1282" t="inlineStr">
        <is>
          <t>ZOPPI, MARIA VIRGINIA</t>
        </is>
      </c>
    </row>
    <row r="1283">
      <c r="A1283" s="74" t="n">
        <v>600020</v>
      </c>
      <c r="B1283" t="inlineStr">
        <is>
          <t>ALIMENTOS ESENCIALES LIMITADA.</t>
        </is>
      </c>
    </row>
    <row r="1284">
      <c r="A1284" s="74" t="n">
        <v>600116</v>
      </c>
      <c r="B1284" t="inlineStr">
        <is>
          <t>SUNDAE Y GELATOS M. LATORRE ER</t>
        </is>
      </c>
    </row>
    <row r="1285">
      <c r="A1285" s="74" t="n">
        <v>100423</v>
      </c>
      <c r="B1285" t="inlineStr">
        <is>
          <t>ZANEK GRICELDA BEATRIZ</t>
        </is>
      </c>
    </row>
    <row r="1286">
      <c r="A1286" s="74" t="n">
        <v>500006</v>
      </c>
      <c r="B1286" t="inlineStr">
        <is>
          <t>JUANCHAR S.R.L</t>
        </is>
      </c>
    </row>
    <row r="1287">
      <c r="A1287" s="74" t="n">
        <v>700000</v>
      </c>
      <c r="B1287" t="inlineStr">
        <is>
          <t>FRANCO GODOY, FERRER SEBASTIAN</t>
        </is>
      </c>
    </row>
    <row r="1288">
      <c r="A1288" s="74" t="n">
        <v>700003</v>
      </c>
      <c r="B1288" t="inlineStr">
        <is>
          <t>SHARBAT S.R.L.</t>
        </is>
      </c>
    </row>
    <row r="1289">
      <c r="A1289" s="74" t="n">
        <v>700001</v>
      </c>
      <c r="B1289" t="inlineStr">
        <is>
          <t>LIESENFELD, PEDRO GUMERCINDO</t>
        </is>
      </c>
    </row>
    <row r="1290">
      <c r="A1290" s="73" t="inlineStr">
        <is>
          <t>100430-1</t>
        </is>
      </c>
      <c r="B1290" t="inlineStr">
        <is>
          <t>PESCIO, VERONICA SILVIA</t>
        </is>
      </c>
    </row>
    <row r="1291">
      <c r="A1291" s="74" t="n">
        <v>100578</v>
      </c>
      <c r="B1291" t="inlineStr">
        <is>
          <t>IRIARTE, JANET ALEXANDRA</t>
        </is>
      </c>
    </row>
    <row r="1292">
      <c r="A1292" s="74" t="n">
        <v>100776</v>
      </c>
      <c r="B1292" t="inlineStr">
        <is>
          <t>MDQ DARE EMPRENDIMIENTOS SUREÑ</t>
        </is>
      </c>
    </row>
    <row r="1293">
      <c r="A1293" s="74" t="n">
        <v>100209</v>
      </c>
      <c r="B1293" t="inlineStr">
        <is>
          <t>TALARICO, ANGEL ORLANDO</t>
        </is>
      </c>
    </row>
    <row r="1294">
      <c r="A1294" s="74" t="n">
        <v>100719</v>
      </c>
      <c r="B1294" t="inlineStr">
        <is>
          <t>POQUETI S.R.L.</t>
        </is>
      </c>
    </row>
    <row r="1295">
      <c r="A1295" s="74" t="n">
        <v>100489</v>
      </c>
      <c r="B1295" t="inlineStr">
        <is>
          <t>RODRIGUEZ, LORENA MARIANA</t>
        </is>
      </c>
    </row>
    <row r="1296">
      <c r="A1296" s="73" t="inlineStr">
        <is>
          <t>100682-2</t>
        </is>
      </c>
      <c r="B1296" t="inlineStr">
        <is>
          <t>DINASTIA ITALIANA S.R.L.</t>
        </is>
      </c>
    </row>
    <row r="1297">
      <c r="A1297" s="74" t="n">
        <v>600122</v>
      </c>
      <c r="B1297" t="inlineStr">
        <is>
          <t>NUTRICION Y TECNOLOGIA LIMITAD</t>
        </is>
      </c>
    </row>
    <row r="1298">
      <c r="A1298" s="74" t="n">
        <v>600019</v>
      </c>
      <c r="B1298" t="inlineStr">
        <is>
          <t>SERVICIOS EN RUTA LIMITADA</t>
        </is>
      </c>
    </row>
    <row r="1299">
      <c r="A1299" s="74" t="n">
        <v>600032</v>
      </c>
      <c r="B1299" t="inlineStr">
        <is>
          <t>INVERSIONES LOPEZ E HIJOS LTDA</t>
        </is>
      </c>
    </row>
    <row r="1300">
      <c r="A1300" s="73" t="inlineStr">
        <is>
          <t> </t>
        </is>
      </c>
      <c r="B1300" t="inlineStr">
        <is>
          <t>SERVICIOS EN RUTA LIMITADA</t>
        </is>
      </c>
    </row>
    <row r="1301">
      <c r="A1301" s="73" t="inlineStr">
        <is>
          <t> </t>
        </is>
      </c>
      <c r="B1301" t="inlineStr">
        <is>
          <t>PASCUAL PEDRO JULIAN MONTALTO, INVERSIONES E.I.R.L.</t>
        </is>
      </c>
    </row>
    <row r="1302">
      <c r="A1302" s="73" t="inlineStr">
        <is>
          <t> </t>
        </is>
      </c>
      <c r="B1302" t="inlineStr">
        <is>
          <t>ALAMIRO HUERTA CATALAN</t>
        </is>
      </c>
    </row>
    <row r="1303">
      <c r="A1303" s="74" t="n">
        <v>100724</v>
      </c>
      <c r="B1303" t="inlineStr">
        <is>
          <t>DAHER LEONARDO JORGE Y DAHER P</t>
        </is>
      </c>
    </row>
    <row r="1304">
      <c r="A1304" s="73" t="inlineStr">
        <is>
          <t>101189-2</t>
        </is>
      </c>
      <c r="B1304" t="inlineStr">
        <is>
          <t>FREEZAR SRL</t>
        </is>
      </c>
    </row>
    <row r="1305">
      <c r="A1305" s="73" t="inlineStr">
        <is>
          <t>100729-1</t>
        </is>
      </c>
      <c r="B1305" t="inlineStr">
        <is>
          <t>VAZQUEZ CABEZA FERNANDO Y TARA</t>
        </is>
      </c>
    </row>
    <row r="1306">
      <c r="A1306" s="74" t="n">
        <v>100204</v>
      </c>
      <c r="B1306" t="inlineStr">
        <is>
          <t>METTI, JORGE LUIS</t>
        </is>
      </c>
    </row>
    <row r="1307">
      <c r="A1307" s="74" t="n">
        <v>101133</v>
      </c>
      <c r="B1307" t="inlineStr">
        <is>
          <t>MARTINEZ RAUL HORACIO</t>
        </is>
      </c>
    </row>
    <row r="1308">
      <c r="A1308" s="74" t="n">
        <v>600077</v>
      </c>
      <c r="B1308" t="inlineStr">
        <is>
          <t>GARCIA VALVERDE LIMITADA</t>
        </is>
      </c>
    </row>
    <row r="1309">
      <c r="A1309" s="74" t="n">
        <v>600010</v>
      </c>
      <c r="B1309" t="inlineStr">
        <is>
          <t>SOCIEDAD COMERCIAL ARASEL LIMI</t>
        </is>
      </c>
    </row>
    <row r="1310">
      <c r="A1310" s="74" t="n">
        <v>600009</v>
      </c>
      <c r="B1310" t="inlineStr">
        <is>
          <t>FGM GASTRONOMIA SPA</t>
        </is>
      </c>
    </row>
    <row r="1311">
      <c r="A1311" s="74" t="n">
        <v>700017</v>
      </c>
      <c r="B1311" t="inlineStr">
        <is>
          <t>URQUHART LAILLA, DUNCAN RUBEN</t>
        </is>
      </c>
    </row>
    <row r="1312">
      <c r="A1312" s="74" t="n">
        <v>700002</v>
      </c>
      <c r="B1312" t="inlineStr">
        <is>
          <t>PROPUESTAS MEDITERRANEAS S.R.L</t>
        </is>
      </c>
    </row>
    <row r="1313">
      <c r="A1313" s="74" t="n">
        <v>100151</v>
      </c>
      <c r="B1313" t="inlineStr">
        <is>
          <t>AGUGLIARO, MARCELO</t>
        </is>
      </c>
    </row>
    <row r="1314">
      <c r="A1314" s="74" t="n">
        <v>100728</v>
      </c>
      <c r="B1314" t="inlineStr">
        <is>
          <t>MARE CALISTO S.R.L.</t>
        </is>
      </c>
    </row>
    <row r="1315">
      <c r="A1315" s="74" t="n">
        <v>100560</v>
      </c>
      <c r="B1315" t="inlineStr">
        <is>
          <t>MONACO, MAILEN AYELEN</t>
        </is>
      </c>
    </row>
    <row r="1316">
      <c r="A1316" s="73" t="inlineStr">
        <is>
          <t>100429-1</t>
        </is>
      </c>
      <c r="B1316" t="inlineStr">
        <is>
          <t>OYHENART, MARIA VIRGINIA</t>
        </is>
      </c>
    </row>
    <row r="1317">
      <c r="A1317" s="73" t="inlineStr">
        <is>
          <t>100665-1</t>
        </is>
      </c>
      <c r="B1317" t="inlineStr">
        <is>
          <t>INFINITO S.R.L.</t>
        </is>
      </c>
    </row>
    <row r="1318">
      <c r="A1318" s="74" t="n">
        <v>100322</v>
      </c>
      <c r="B1318" t="inlineStr">
        <is>
          <t>DIHARTCE, JIMENA PAOLA</t>
        </is>
      </c>
    </row>
    <row r="1319">
      <c r="A1319" s="74" t="n">
        <v>100335</v>
      </c>
      <c r="B1319" t="inlineStr">
        <is>
          <t>GUZMAN MAKSUD, FLAVIA DORIS</t>
        </is>
      </c>
    </row>
    <row r="1320">
      <c r="A1320" s="74" t="n">
        <v>100586</v>
      </c>
      <c r="B1320" t="inlineStr">
        <is>
          <t>SILVA CARLOS ALBERTO Y TOBIO D</t>
        </is>
      </c>
    </row>
    <row r="1321">
      <c r="A1321" s="73" t="inlineStr">
        <is>
          <t>101313-1</t>
        </is>
      </c>
      <c r="B1321" t="inlineStr">
        <is>
          <t>ROSTON JESICA NADIA</t>
        </is>
      </c>
    </row>
    <row r="1322">
      <c r="A1322" s="74" t="n">
        <v>100311</v>
      </c>
      <c r="B1322" t="inlineStr">
        <is>
          <t>D´ALESSIO, MARIA EUGENIA</t>
        </is>
      </c>
    </row>
    <row r="1323">
      <c r="A1323" s="74" t="n">
        <v>100549</v>
      </c>
      <c r="B1323" t="inlineStr">
        <is>
          <t>PAREDES, VANESA IRENE</t>
        </is>
      </c>
    </row>
    <row r="1324">
      <c r="A1324" s="74" t="n">
        <v>100729</v>
      </c>
      <c r="B1324" t="inlineStr">
        <is>
          <t>VAZQUEZ CABEZA FERNANDO Y TARA</t>
        </is>
      </c>
    </row>
    <row r="1325">
      <c r="A1325" s="73" t="inlineStr">
        <is>
          <t>100697-3</t>
        </is>
      </c>
      <c r="B1325" t="inlineStr">
        <is>
          <t>OCTI S.R.L.</t>
        </is>
      </c>
    </row>
    <row r="1326">
      <c r="A1326" s="74" t="n">
        <v>500019</v>
      </c>
      <c r="B1326" t="inlineStr">
        <is>
          <t>MAXPOINT SOCIEDAD ANONIMA</t>
        </is>
      </c>
    </row>
    <row r="1327">
      <c r="A1327" s="74" t="n">
        <v>100133</v>
      </c>
      <c r="B1327" t="inlineStr">
        <is>
          <t>STORNELLI, JAVIER FERNANDO</t>
        </is>
      </c>
    </row>
    <row r="1328">
      <c r="A1328" s="74" t="n">
        <v>100083</v>
      </c>
      <c r="B1328" t="inlineStr">
        <is>
          <t>BULACIOS, GUILLERMO ARMANDO</t>
        </is>
      </c>
    </row>
    <row r="1329">
      <c r="A1329" s="74" t="n">
        <v>100360</v>
      </c>
      <c r="B1329" t="inlineStr">
        <is>
          <t>HELMBOLD, ALEJANDRO JAVIER</t>
        </is>
      </c>
    </row>
    <row r="1330">
      <c r="A1330" s="73" t="inlineStr">
        <is>
          <t>100493-1</t>
        </is>
      </c>
      <c r="B1330" t="inlineStr">
        <is>
          <t>ALIMENTI, MARIA FLORENCIA</t>
        </is>
      </c>
    </row>
    <row r="1331">
      <c r="A1331" s="74" t="n">
        <v>100030</v>
      </c>
      <c r="B1331" t="inlineStr">
        <is>
          <t>FERNANDEZ, LUIS ALBERTO</t>
        </is>
      </c>
    </row>
    <row r="1332">
      <c r="A1332" s="74" t="n">
        <v>100025</v>
      </c>
      <c r="B1332" t="inlineStr">
        <is>
          <t>GOBET, MARCELO ANIBAL</t>
        </is>
      </c>
    </row>
    <row r="1333">
      <c r="A1333" s="74" t="n">
        <v>100529</v>
      </c>
      <c r="B1333" t="inlineStr">
        <is>
          <t>SAN ROMAN, CARINA DEL LUJAN</t>
        </is>
      </c>
    </row>
    <row r="1334">
      <c r="A1334" s="73" t="inlineStr">
        <is>
          <t>100559-1</t>
        </is>
      </c>
      <c r="B1334" t="inlineStr">
        <is>
          <t>COSENTINO, GABRIELA</t>
        </is>
      </c>
    </row>
    <row r="1335">
      <c r="A1335" s="74" t="n">
        <v>101087</v>
      </c>
      <c r="B1335" t="inlineStr">
        <is>
          <t>RADOMSKI, MAURO GASTON</t>
        </is>
      </c>
    </row>
    <row r="1336">
      <c r="A1336" s="74" t="n">
        <v>500047</v>
      </c>
      <c r="B1336" t="inlineStr">
        <is>
          <t>ZORBRUN S.R.L.</t>
        </is>
      </c>
    </row>
    <row r="1337">
      <c r="A1337" s="74" t="n">
        <v>100528</v>
      </c>
      <c r="B1337" t="inlineStr">
        <is>
          <t>SOLARES DOMINGUEZ, MARIA BELEN</t>
        </is>
      </c>
    </row>
    <row r="1338">
      <c r="A1338" s="74" t="n">
        <v>101351</v>
      </c>
      <c r="B1338" t="inlineStr">
        <is>
          <t>CASTILLO ALBINA LORENA</t>
        </is>
      </c>
    </row>
    <row r="1339">
      <c r="A1339" s="73" t="inlineStr">
        <is>
          <t>100827-3</t>
        </is>
      </c>
      <c r="B1339" t="inlineStr">
        <is>
          <t>MARTINI Y MARTINI S.H.</t>
        </is>
      </c>
    </row>
    <row r="1340">
      <c r="A1340" s="73" t="inlineStr">
        <is>
          <t>100827-2</t>
        </is>
      </c>
      <c r="B1340" t="inlineStr">
        <is>
          <t>MARTINI Y MARTINI S.H.</t>
        </is>
      </c>
    </row>
    <row r="1341">
      <c r="A1341" s="73" t="inlineStr">
        <is>
          <t>100539-2</t>
        </is>
      </c>
      <c r="B1341" t="inlineStr">
        <is>
          <t>SOTO, GISELA NATALIN</t>
        </is>
      </c>
    </row>
    <row r="1342">
      <c r="A1342" s="74" t="n">
        <v>101237</v>
      </c>
      <c r="B1342" t="inlineStr">
        <is>
          <t>RAYUELA SOCIEDAD SIMPLE</t>
        </is>
      </c>
    </row>
    <row r="1343">
      <c r="A1343" s="74" t="n">
        <v>100326</v>
      </c>
      <c r="B1343" t="inlineStr">
        <is>
          <t>GONZALEZ BRAU, MATIAS</t>
        </is>
      </c>
    </row>
    <row r="1344">
      <c r="A1344" s="73" t="inlineStr">
        <is>
          <t>100355-3</t>
        </is>
      </c>
      <c r="B1344" t="inlineStr">
        <is>
          <t>MORVAN, MARIA SOL</t>
        </is>
      </c>
    </row>
    <row r="1345">
      <c r="A1345" s="73" t="inlineStr">
        <is>
          <t>100438-3</t>
        </is>
      </c>
      <c r="B1345" t="inlineStr">
        <is>
          <t>LOPEZ, RAMONA CRISTINA</t>
        </is>
      </c>
    </row>
    <row r="1346">
      <c r="A1346" s="73" t="inlineStr">
        <is>
          <t>100769-2</t>
        </is>
      </c>
      <c r="B1346" t="inlineStr">
        <is>
          <t>GRUPO POTENZA S.R.L.</t>
        </is>
      </c>
    </row>
    <row r="1347">
      <c r="A1347" s="73" t="inlineStr">
        <is>
          <t>100712-1</t>
        </is>
      </c>
      <c r="B1347" t="inlineStr">
        <is>
          <t>BASE SUR S.R.L.</t>
        </is>
      </c>
    </row>
    <row r="1348">
      <c r="A1348" s="74" t="n">
        <v>500041</v>
      </c>
      <c r="B1348" t="inlineStr">
        <is>
          <t>LORENA PALMIRA  BALADON GONZAL</t>
        </is>
      </c>
    </row>
    <row r="1349">
      <c r="A1349" s="73" t="inlineStr">
        <is>
          <t>100331-1</t>
        </is>
      </c>
      <c r="B1349" t="inlineStr">
        <is>
          <t>VALLASCIANI, LEANDRO</t>
        </is>
      </c>
    </row>
    <row r="1350">
      <c r="A1350" s="73" t="inlineStr">
        <is>
          <t>100018-2</t>
        </is>
      </c>
      <c r="B1350" t="inlineStr">
        <is>
          <t>NUSS, RUBEN ROBERTO</t>
        </is>
      </c>
    </row>
    <row r="1351">
      <c r="A1351" s="73" t="inlineStr">
        <is>
          <t>100505-2</t>
        </is>
      </c>
      <c r="B1351" t="inlineStr">
        <is>
          <t>RODRIGUEZ, JULIETA</t>
        </is>
      </c>
    </row>
    <row r="1352">
      <c r="A1352" s="73" t="inlineStr">
        <is>
          <t>100925-1</t>
        </is>
      </c>
      <c r="B1352" t="inlineStr">
        <is>
          <t>SCHEUCHER ERICK HEINZ</t>
        </is>
      </c>
    </row>
    <row r="1353">
      <c r="A1353" s="73" t="inlineStr">
        <is>
          <t>100197-2</t>
        </is>
      </c>
      <c r="B1353" t="inlineStr">
        <is>
          <t>FERNANDEZ, EDGARDO IVAN</t>
        </is>
      </c>
    </row>
    <row r="1354">
      <c r="A1354" s="74" t="n">
        <v>100035</v>
      </c>
      <c r="B1354" t="inlineStr">
        <is>
          <t>FERNANDEZ, SANDRO EMILIO</t>
        </is>
      </c>
    </row>
    <row r="1355">
      <c r="A1355" s="74" t="n">
        <v>100461</v>
      </c>
      <c r="B1355" t="inlineStr">
        <is>
          <t>MALDONADO, SANDRA BEATRIZ DEL</t>
        </is>
      </c>
    </row>
    <row r="1356">
      <c r="A1356" s="74" t="n">
        <v>100503</v>
      </c>
      <c r="B1356" t="inlineStr">
        <is>
          <t>MENDIETA, ANALIA GIMENA</t>
        </is>
      </c>
    </row>
    <row r="1357">
      <c r="A1357" s="74" t="n">
        <v>101159</v>
      </c>
      <c r="B1357" t="inlineStr">
        <is>
          <t>LEMOS MARIA FERNANDA</t>
        </is>
      </c>
    </row>
    <row r="1358">
      <c r="A1358" s="74" t="n">
        <v>100727</v>
      </c>
      <c r="B1358" t="inlineStr">
        <is>
          <t>CE.GA. FRIO S.R.L.</t>
        </is>
      </c>
    </row>
    <row r="1359">
      <c r="A1359" s="74" t="n">
        <v>100250</v>
      </c>
      <c r="B1359" t="inlineStr">
        <is>
          <t>NAVARRO HEIN EMANUEL</t>
        </is>
      </c>
    </row>
    <row r="1360">
      <c r="A1360" s="74" t="n">
        <v>100220</v>
      </c>
      <c r="B1360" t="inlineStr">
        <is>
          <t>SPIDALIERI, PEDRO RAUL</t>
        </is>
      </c>
    </row>
    <row r="1361">
      <c r="A1361" s="73" t="inlineStr">
        <is>
          <t>100427-1</t>
        </is>
      </c>
      <c r="B1361" t="inlineStr">
        <is>
          <t>LAFUENTE ANDREA KARINA</t>
        </is>
      </c>
    </row>
    <row r="1362">
      <c r="A1362" s="74" t="n">
        <v>500017</v>
      </c>
      <c r="B1362" t="inlineStr">
        <is>
          <t>FERNANDO GARCÍA</t>
        </is>
      </c>
    </row>
    <row r="1363">
      <c r="A1363" s="74" t="n">
        <v>100149</v>
      </c>
      <c r="B1363" t="inlineStr">
        <is>
          <t>DONADIO, PABLO SEBASTIAN</t>
        </is>
      </c>
    </row>
    <row r="1364">
      <c r="A1364" s="74" t="n">
        <v>100736</v>
      </c>
      <c r="B1364" t="inlineStr">
        <is>
          <t>VIK-LO S.A.</t>
        </is>
      </c>
    </row>
    <row r="1365">
      <c r="A1365" s="73" t="inlineStr">
        <is>
          <t>100679-2</t>
        </is>
      </c>
      <c r="B1365" t="inlineStr">
        <is>
          <t>HELADERIAS DEL LITORAL S.R.L.</t>
        </is>
      </c>
    </row>
    <row r="1366">
      <c r="A1366" s="74" t="n">
        <v>100734</v>
      </c>
      <c r="B1366" t="inlineStr">
        <is>
          <t>FUSTE DE DIEGO SEBASTIAN JACQU</t>
        </is>
      </c>
    </row>
    <row r="1367">
      <c r="A1367" s="74" t="n">
        <v>101086</v>
      </c>
      <c r="B1367" t="inlineStr">
        <is>
          <t>EMEADE S.R.L.</t>
        </is>
      </c>
    </row>
    <row r="1368">
      <c r="A1368" s="73" t="inlineStr">
        <is>
          <t> </t>
        </is>
      </c>
      <c r="B1368" t="inlineStr">
        <is>
          <t> </t>
        </is>
      </c>
    </row>
    <row r="1369">
      <c r="A1369" s="74" t="n">
        <v>700005</v>
      </c>
      <c r="B1369" t="inlineStr">
        <is>
          <t>TALA S.R.L.</t>
        </is>
      </c>
    </row>
    <row r="1370">
      <c r="A1370" s="74" t="n">
        <v>100158</v>
      </c>
      <c r="B1370" t="inlineStr">
        <is>
          <t>MANSILLA VERA, DIEGO SEBASTIAN</t>
        </is>
      </c>
    </row>
    <row r="1371">
      <c r="A1371" s="73" t="inlineStr">
        <is>
          <t>100018-1</t>
        </is>
      </c>
      <c r="B1371" t="inlineStr">
        <is>
          <t>NUSS, RUBEN ROBERTO</t>
        </is>
      </c>
    </row>
    <row r="1372">
      <c r="A1372" s="74" t="n">
        <v>700007</v>
      </c>
      <c r="B1372" t="inlineStr">
        <is>
          <t>VAZQUEZ INVERNIZZI, ILSE LOREN</t>
        </is>
      </c>
    </row>
    <row r="1373">
      <c r="A1373" s="74" t="n">
        <v>700008</v>
      </c>
      <c r="B1373" t="inlineStr">
        <is>
          <t>RIDEL S.A.</t>
        </is>
      </c>
    </row>
    <row r="1374">
      <c r="A1374" s="74" t="n">
        <v>100062</v>
      </c>
      <c r="B1374" t="inlineStr">
        <is>
          <t>MAC DERMOTT, URIEL ENRIQUE</t>
        </is>
      </c>
    </row>
    <row r="1375">
      <c r="A1375" s="74" t="n">
        <v>101022</v>
      </c>
      <c r="B1375" t="inlineStr">
        <is>
          <t>BRITOS, CARLA SABINA</t>
        </is>
      </c>
    </row>
    <row r="1376">
      <c r="A1376" s="73" t="inlineStr">
        <is>
          <t>100771-3</t>
        </is>
      </c>
      <c r="B1376" t="inlineStr">
        <is>
          <t>CREMOSO S.R.L.</t>
        </is>
      </c>
    </row>
    <row r="1377">
      <c r="A1377" s="74" t="n">
        <v>700006</v>
      </c>
      <c r="B1377" t="inlineStr">
        <is>
          <t>MAJDALANI MARIO OSVALDO</t>
        </is>
      </c>
    </row>
    <row r="1378">
      <c r="A1378" s="74" t="n">
        <v>100150</v>
      </c>
      <c r="B1378" t="inlineStr">
        <is>
          <t>LOPEZ, PABLO ARTURO</t>
        </is>
      </c>
    </row>
    <row r="1379">
      <c r="A1379" s="74" t="n">
        <v>100276</v>
      </c>
      <c r="B1379" t="inlineStr">
        <is>
          <t>VERA, RODRIGO ALBERTO</t>
        </is>
      </c>
    </row>
    <row r="1380">
      <c r="A1380" s="74" t="n">
        <v>100044</v>
      </c>
      <c r="B1380" t="inlineStr">
        <is>
          <t>TABOADA, MARCELO JOSE</t>
        </is>
      </c>
    </row>
    <row r="1381">
      <c r="A1381" s="74" t="n">
        <v>600029</v>
      </c>
      <c r="B1381" t="inlineStr">
        <is>
          <t>GRUPO GID LIMITADA</t>
        </is>
      </c>
    </row>
    <row r="1382">
      <c r="A1382" s="74" t="n">
        <v>100741</v>
      </c>
      <c r="B1382" t="inlineStr">
        <is>
          <t>VILAMIRA S.R.L.</t>
        </is>
      </c>
    </row>
    <row r="1383">
      <c r="A1383" s="74" t="n">
        <v>100740</v>
      </c>
      <c r="B1383" t="inlineStr">
        <is>
          <t>BOCOBOR S.R.L.</t>
        </is>
      </c>
    </row>
    <row r="1384">
      <c r="A1384" s="74" t="n">
        <v>100089</v>
      </c>
      <c r="B1384" t="inlineStr">
        <is>
          <t>MONTERO, MARCELO HERNAN</t>
        </is>
      </c>
    </row>
    <row r="1385">
      <c r="A1385" s="74" t="n">
        <v>100033</v>
      </c>
      <c r="B1385" t="inlineStr">
        <is>
          <t>LOBO, RAMON HUGO</t>
        </is>
      </c>
    </row>
    <row r="1386">
      <c r="A1386" s="74" t="n">
        <v>100325</v>
      </c>
      <c r="B1386" t="inlineStr">
        <is>
          <t>VOVARD, CARLA MARCELA</t>
        </is>
      </c>
    </row>
    <row r="1387">
      <c r="A1387" s="74" t="n">
        <v>101067</v>
      </c>
      <c r="B1387" t="inlineStr">
        <is>
          <t>USABARRENA, MARIA EUGENIA</t>
        </is>
      </c>
    </row>
    <row r="1388">
      <c r="A1388" s="74" t="n">
        <v>100540</v>
      </c>
      <c r="B1388" t="inlineStr">
        <is>
          <t>GENES, ANDREA PAOLA</t>
        </is>
      </c>
    </row>
    <row r="1389">
      <c r="A1389" s="74" t="n">
        <v>100941</v>
      </c>
      <c r="B1389" t="inlineStr">
        <is>
          <t>MARTINEZ, MONICA MARISA</t>
        </is>
      </c>
    </row>
    <row r="1390">
      <c r="A1390" s="74" t="n">
        <v>100574</v>
      </c>
      <c r="B1390" t="inlineStr">
        <is>
          <t>MOLINA, LARA MARIANA</t>
        </is>
      </c>
    </row>
    <row r="1391">
      <c r="A1391" s="73" t="inlineStr">
        <is>
          <t>100284-2</t>
        </is>
      </c>
      <c r="B1391" t="inlineStr">
        <is>
          <t>CARENA, MAXIMILIANO GASTON</t>
        </is>
      </c>
    </row>
    <row r="1392">
      <c r="A1392" s="74" t="n">
        <v>100449</v>
      </c>
      <c r="B1392" t="inlineStr">
        <is>
          <t>LUNA, MARIA DE LOS ANGELES</t>
        </is>
      </c>
    </row>
    <row r="1393">
      <c r="A1393" s="74" t="n">
        <v>100010</v>
      </c>
      <c r="B1393" t="inlineStr">
        <is>
          <t>VEGA, VICTOR ATILIO</t>
        </is>
      </c>
    </row>
    <row r="1394">
      <c r="A1394" s="74" t="n">
        <v>100561</v>
      </c>
      <c r="B1394" t="inlineStr">
        <is>
          <t>CORDOBA, JULIA ROMINA</t>
        </is>
      </c>
    </row>
    <row r="1395">
      <c r="A1395" s="74" t="n">
        <v>100040</v>
      </c>
      <c r="B1395" t="inlineStr">
        <is>
          <t>URQUIZA, MARIO ROLANDO</t>
        </is>
      </c>
    </row>
    <row r="1396">
      <c r="A1396" s="74" t="n">
        <v>100576</v>
      </c>
      <c r="B1396" t="inlineStr">
        <is>
          <t>CABRERA, EDITH DEL VALLE</t>
        </is>
      </c>
    </row>
    <row r="1397">
      <c r="A1397" s="74" t="n">
        <v>100401</v>
      </c>
      <c r="B1397" t="inlineStr">
        <is>
          <t>LOPEZ, LILIANA MONICA</t>
        </is>
      </c>
    </row>
    <row r="1398">
      <c r="A1398" s="74" t="n">
        <v>700009</v>
      </c>
      <c r="B1398" t="inlineStr">
        <is>
          <t>FORES CENAK, FABIO AUGUSTO</t>
        </is>
      </c>
    </row>
    <row r="1399">
      <c r="A1399" s="74" t="n">
        <v>100298</v>
      </c>
      <c r="B1399" t="inlineStr">
        <is>
          <t>MAZZEO MARCELO A</t>
        </is>
      </c>
    </row>
    <row r="1400">
      <c r="A1400" s="73" t="inlineStr">
        <is>
          <t>100411-1</t>
        </is>
      </c>
      <c r="B1400" t="inlineStr">
        <is>
          <t>VARELA, LAURA BEATRIZ</t>
        </is>
      </c>
    </row>
    <row r="1401">
      <c r="A1401" s="73" t="inlineStr">
        <is>
          <t> </t>
        </is>
      </c>
      <c r="B1401" t="inlineStr">
        <is>
          <t> </t>
        </is>
      </c>
    </row>
    <row r="1402">
      <c r="A1402" s="73" t="inlineStr">
        <is>
          <t>100706-5</t>
        </is>
      </c>
      <c r="B1402" t="inlineStr">
        <is>
          <t>ALMUZARA DISTRIBUCIONES S.R.L.</t>
        </is>
      </c>
    </row>
    <row r="1403">
      <c r="A1403" s="73" t="inlineStr">
        <is>
          <t>100646-6</t>
        </is>
      </c>
      <c r="B1403" t="inlineStr">
        <is>
          <t>ADRIMAR S.R.L.</t>
        </is>
      </c>
    </row>
    <row r="1404">
      <c r="A1404" s="74" t="n">
        <v>600017</v>
      </c>
      <c r="B1404" t="inlineStr">
        <is>
          <t>COM KAMUR SPA</t>
        </is>
      </c>
    </row>
    <row r="1405">
      <c r="A1405" s="73" t="inlineStr">
        <is>
          <t> </t>
        </is>
      </c>
      <c r="B1405" t="inlineStr">
        <is>
          <t> </t>
        </is>
      </c>
    </row>
    <row r="1406">
      <c r="A1406" s="74" t="n">
        <v>100241</v>
      </c>
      <c r="B1406" t="inlineStr">
        <is>
          <t>IORIO, CRISTIAN MARIO</t>
        </is>
      </c>
    </row>
    <row r="1407">
      <c r="A1407" s="74" t="n">
        <v>101196</v>
      </c>
      <c r="B1407" t="inlineStr">
        <is>
          <t>MATA LAURA RAQUEL</t>
        </is>
      </c>
    </row>
    <row r="1408">
      <c r="A1408" s="74" t="n">
        <v>700010</v>
      </c>
      <c r="B1408" t="inlineStr">
        <is>
          <t>RIVEROS AYALA, WALTER ANIBAL</t>
        </is>
      </c>
    </row>
    <row r="1409">
      <c r="A1409" s="74" t="n">
        <v>700011</v>
      </c>
      <c r="B1409" t="inlineStr">
        <is>
          <t>MARTINEZ IBARRA, JULIAN</t>
        </is>
      </c>
    </row>
    <row r="1410">
      <c r="A1410" s="73" t="inlineStr">
        <is>
          <t>100299-1</t>
        </is>
      </c>
      <c r="B1410" t="inlineStr">
        <is>
          <t>MARIN, GLADYS DEL CARMEN</t>
        </is>
      </c>
    </row>
    <row r="1411">
      <c r="A1411" s="74" t="n">
        <v>100750</v>
      </c>
      <c r="B1411" t="inlineStr">
        <is>
          <t>FAUFROST S.R.L.</t>
        </is>
      </c>
    </row>
    <row r="1412">
      <c r="A1412" s="74" t="n">
        <v>100739</v>
      </c>
      <c r="B1412" t="inlineStr">
        <is>
          <t>M &amp; M DE S. MORENO Y S. MEDRAN</t>
        </is>
      </c>
    </row>
    <row r="1413">
      <c r="A1413" s="74" t="n">
        <v>100267</v>
      </c>
      <c r="B1413" t="inlineStr">
        <is>
          <t>IANNICELLO, ALEXANDRO</t>
        </is>
      </c>
    </row>
    <row r="1414">
      <c r="A1414" s="74" t="n">
        <v>100484</v>
      </c>
      <c r="B1414" t="inlineStr">
        <is>
          <t>PEREZ, MARIELA PAULA</t>
        </is>
      </c>
    </row>
    <row r="1415">
      <c r="A1415" s="74" t="n">
        <v>100184</v>
      </c>
      <c r="B1415" t="inlineStr">
        <is>
          <t>JIMENEZ, ALEJANDRO ESTEBAN</t>
        </is>
      </c>
    </row>
    <row r="1416">
      <c r="A1416" s="74" t="n">
        <v>100458</v>
      </c>
      <c r="B1416" t="inlineStr">
        <is>
          <t>OLEA, MARIA ZULEMA</t>
        </is>
      </c>
    </row>
    <row r="1417">
      <c r="A1417" s="73" t="inlineStr">
        <is>
          <t>100601-2</t>
        </is>
      </c>
      <c r="B1417" t="inlineStr">
        <is>
          <t>D' NOS S.R.L.</t>
        </is>
      </c>
    </row>
    <row r="1418">
      <c r="A1418" s="74" t="n">
        <v>101410</v>
      </c>
      <c r="B1418" t="inlineStr">
        <is>
          <t>ARIETA557 S.R.L.</t>
        </is>
      </c>
    </row>
    <row r="1419">
      <c r="A1419" s="74" t="n">
        <v>100175</v>
      </c>
      <c r="B1419" t="inlineStr">
        <is>
          <t>PETRICH, ADOLFO CESAR</t>
        </is>
      </c>
    </row>
    <row r="1420">
      <c r="A1420" s="74" t="n">
        <v>100507</v>
      </c>
      <c r="B1420" t="inlineStr">
        <is>
          <t>RODRIGUEZ, VERONICA AMNERIS</t>
        </is>
      </c>
    </row>
    <row r="1421">
      <c r="A1421" s="73" t="inlineStr">
        <is>
          <t>100038-2</t>
        </is>
      </c>
      <c r="B1421" t="inlineStr">
        <is>
          <t>LIRA HERNAN ALEJANDRO</t>
        </is>
      </c>
    </row>
    <row r="1422">
      <c r="A1422" s="74" t="n">
        <v>101446</v>
      </c>
      <c r="B1422" t="inlineStr">
        <is>
          <t>LEZCANO MELISA ALEXANDRA</t>
        </is>
      </c>
    </row>
    <row r="1423">
      <c r="A1423" s="74" t="n">
        <v>100753</v>
      </c>
      <c r="B1423" t="inlineStr">
        <is>
          <t>CORIALOI DGS S.R.L.</t>
        </is>
      </c>
    </row>
    <row r="1424">
      <c r="A1424" s="74" t="n">
        <v>101350</v>
      </c>
      <c r="B1424" t="inlineStr">
        <is>
          <t>MERLO FERNANDEZ YESICA MARIANA</t>
        </is>
      </c>
    </row>
    <row r="1425">
      <c r="A1425" s="73" t="inlineStr">
        <is>
          <t>101084-10</t>
        </is>
      </c>
      <c r="B1425" t="inlineStr">
        <is>
          <t>TWIN S.R.L.</t>
        </is>
      </c>
    </row>
    <row r="1426">
      <c r="A1426" s="74" t="n">
        <v>100550</v>
      </c>
      <c r="B1426" t="inlineStr">
        <is>
          <t>OVIEDO, NOELIA PAOLA</t>
        </is>
      </c>
    </row>
    <row r="1427">
      <c r="A1427" s="74" t="n">
        <v>600085</v>
      </c>
      <c r="B1427" t="inlineStr">
        <is>
          <t>INVERSIONES DINAMARCA SPA</t>
        </is>
      </c>
    </row>
    <row r="1428">
      <c r="A1428" s="74" t="n">
        <v>100754</v>
      </c>
      <c r="B1428" t="inlineStr">
        <is>
          <t>IGVI SAN NICOLAS S.R.L.</t>
        </is>
      </c>
    </row>
    <row r="1429">
      <c r="A1429" s="74" t="n">
        <v>100290</v>
      </c>
      <c r="B1429" t="inlineStr">
        <is>
          <t>ROA FRANCO, HERME MARTIN</t>
        </is>
      </c>
    </row>
    <row r="1430">
      <c r="A1430" s="73" t="inlineStr">
        <is>
          <t>100945-1</t>
        </is>
      </c>
      <c r="B1430" t="inlineStr">
        <is>
          <t>EMPRENDER MEDITERRANEA S.R.L.</t>
        </is>
      </c>
    </row>
    <row r="1431">
      <c r="A1431" s="73" t="inlineStr">
        <is>
          <t>100664-1</t>
        </is>
      </c>
      <c r="B1431" t="inlineStr">
        <is>
          <t>SANTA CRISTINA S.A.</t>
        </is>
      </c>
    </row>
    <row r="1432">
      <c r="A1432" s="74" t="n">
        <v>100111</v>
      </c>
      <c r="B1432" t="inlineStr">
        <is>
          <t>BAEZ, NESTOR OSCAR</t>
        </is>
      </c>
    </row>
    <row r="1433">
      <c r="A1433" s="74" t="n">
        <v>100100</v>
      </c>
      <c r="B1433" t="inlineStr">
        <is>
          <t>DELLA CHIARA, MARCELO RUBEN</t>
        </is>
      </c>
    </row>
    <row r="1434">
      <c r="A1434" s="73" t="inlineStr">
        <is>
          <t>100958-1</t>
        </is>
      </c>
      <c r="B1434" t="inlineStr">
        <is>
          <t>PANAGRI PUSH S.A.S.</t>
        </is>
      </c>
    </row>
    <row r="1435">
      <c r="A1435" s="74" t="n">
        <v>100097</v>
      </c>
      <c r="B1435" t="inlineStr">
        <is>
          <t>ISENDORF, TOMAS ELIGIO</t>
        </is>
      </c>
    </row>
    <row r="1436">
      <c r="A1436" s="74" t="n">
        <v>100448</v>
      </c>
      <c r="B1436" t="inlineStr">
        <is>
          <t>GARCIA, MARIA JOSE</t>
        </is>
      </c>
    </row>
    <row r="1437">
      <c r="A1437" s="74" t="n">
        <v>101109</v>
      </c>
      <c r="B1437" t="inlineStr">
        <is>
          <t>LENA COMPANY S.A</t>
        </is>
      </c>
    </row>
    <row r="1438">
      <c r="A1438" s="74" t="n">
        <v>100312</v>
      </c>
      <c r="B1438" t="inlineStr">
        <is>
          <t>CAROSIO, LORENA IVONE</t>
        </is>
      </c>
    </row>
    <row r="1439">
      <c r="A1439" s="74" t="n">
        <v>100235</v>
      </c>
      <c r="B1439" t="inlineStr">
        <is>
          <t>PENSADO, JUAN MANUEL</t>
        </is>
      </c>
    </row>
    <row r="1440">
      <c r="A1440" s="74" t="n">
        <v>100160</v>
      </c>
      <c r="B1440" t="inlineStr">
        <is>
          <t>ABATE, DIEGO LUIS</t>
        </is>
      </c>
    </row>
    <row r="1441">
      <c r="A1441" s="74" t="n">
        <v>100353</v>
      </c>
      <c r="B1441" t="inlineStr">
        <is>
          <t>ACUÑA CARIC, MARIA NOEL</t>
        </is>
      </c>
    </row>
    <row r="1442">
      <c r="A1442" s="73" t="inlineStr">
        <is>
          <t>100024-2</t>
        </is>
      </c>
      <c r="B1442" t="inlineStr">
        <is>
          <t>RODOLICO, PEDRO</t>
        </is>
      </c>
    </row>
    <row r="1443">
      <c r="A1443" s="74" t="n">
        <v>500001</v>
      </c>
      <c r="B1443" t="inlineStr">
        <is>
          <t>MARÍA LORENA POSE Y BÉLGICA MA</t>
        </is>
      </c>
    </row>
    <row r="1444">
      <c r="A1444" s="74" t="n">
        <v>101135</v>
      </c>
      <c r="B1444" t="inlineStr">
        <is>
          <t>HELMBOLD RICARDO ALBERTO</t>
        </is>
      </c>
    </row>
    <row r="1445">
      <c r="A1445" s="74" t="n">
        <v>100742</v>
      </c>
      <c r="B1445" t="inlineStr">
        <is>
          <t>GUEICE S.A.</t>
        </is>
      </c>
    </row>
    <row r="1446">
      <c r="A1446" s="74" t="n">
        <v>700013</v>
      </c>
      <c r="B1446" t="inlineStr">
        <is>
          <t>FERRER-CAJIGAL SCAVONE, ANTONE</t>
        </is>
      </c>
    </row>
    <row r="1447">
      <c r="A1447" s="74" t="n">
        <v>700014</v>
      </c>
      <c r="B1447" t="inlineStr">
        <is>
          <t>BETBEDER, CARLA</t>
        </is>
      </c>
    </row>
    <row r="1448">
      <c r="A1448" s="74" t="n">
        <v>700015</v>
      </c>
      <c r="B1448" t="inlineStr">
        <is>
          <t>VALINOTI BAREIRO, GIOVANNI</t>
        </is>
      </c>
    </row>
    <row r="1449">
      <c r="A1449" s="73" t="inlineStr">
        <is>
          <t>100251-1</t>
        </is>
      </c>
      <c r="B1449" t="inlineStr">
        <is>
          <t>BARRIONUEVO, LUCAS DAMIAN</t>
        </is>
      </c>
    </row>
    <row r="1450">
      <c r="A1450" s="74" t="n">
        <v>100348</v>
      </c>
      <c r="B1450" t="inlineStr">
        <is>
          <t>BRIE, AGUSTIN IGNACIO</t>
        </is>
      </c>
    </row>
    <row r="1451">
      <c r="A1451" s="74" t="n">
        <v>100410</v>
      </c>
      <c r="B1451" t="inlineStr">
        <is>
          <t>LOMBARDINI, PATRICIA ALEJANDRA</t>
        </is>
      </c>
    </row>
    <row r="1452">
      <c r="A1452" s="74" t="n">
        <v>100306</v>
      </c>
      <c r="B1452" t="inlineStr">
        <is>
          <t>ZACARIAS, SONIA BEATRIZ</t>
        </is>
      </c>
    </row>
    <row r="1453">
      <c r="A1453" s="73" t="inlineStr">
        <is>
          <t>100597-4</t>
        </is>
      </c>
      <c r="B1453" t="inlineStr">
        <is>
          <t>LE GLACIER SRL</t>
        </is>
      </c>
    </row>
    <row r="1454">
      <c r="A1454" s="74" t="n">
        <v>101088</v>
      </c>
      <c r="B1454" t="inlineStr">
        <is>
          <t>LEGUIZAMON, IRMA ANAHI MARICEL</t>
        </is>
      </c>
    </row>
    <row r="1455">
      <c r="A1455" s="74" t="n">
        <v>100421</v>
      </c>
      <c r="B1455" t="inlineStr">
        <is>
          <t>BARBARESI, MARIEL LUJAN</t>
        </is>
      </c>
    </row>
    <row r="1456">
      <c r="A1456" s="74" t="n">
        <v>700021</v>
      </c>
      <c r="B1456" t="inlineStr">
        <is>
          <t>FVG SOCIEDAD ANONIMA</t>
        </is>
      </c>
    </row>
    <row r="1457">
      <c r="A1457" s="74" t="n">
        <v>100076</v>
      </c>
      <c r="B1457" t="inlineStr">
        <is>
          <t>LOPEZ, SERGIO RAMON</t>
        </is>
      </c>
    </row>
    <row r="1458">
      <c r="A1458" s="74" t="n">
        <v>100412</v>
      </c>
      <c r="B1458" t="inlineStr">
        <is>
          <t>ROSSI, MARIA ANGELICA</t>
        </is>
      </c>
    </row>
    <row r="1459">
      <c r="A1459" s="73" t="inlineStr">
        <is>
          <t>100136-6</t>
        </is>
      </c>
      <c r="B1459" t="inlineStr">
        <is>
          <t>MONTECINOS, ALDO FABIAN</t>
        </is>
      </c>
    </row>
    <row r="1460">
      <c r="A1460" s="73" t="inlineStr">
        <is>
          <t>100203-6</t>
        </is>
      </c>
      <c r="B1460" t="inlineStr">
        <is>
          <t>MONTECINOS, LUCIANO SEBASTIAN</t>
        </is>
      </c>
    </row>
    <row r="1461">
      <c r="A1461" s="73" t="inlineStr">
        <is>
          <t>101324-1</t>
        </is>
      </c>
      <c r="B1461" t="inlineStr">
        <is>
          <t>DANIELE FRANCO JOSE</t>
        </is>
      </c>
    </row>
    <row r="1462">
      <c r="A1462" s="73" t="inlineStr">
        <is>
          <t>100091-1</t>
        </is>
      </c>
      <c r="B1462" t="inlineStr">
        <is>
          <t>VENTRICI ALEJANDRO DANIEL</t>
        </is>
      </c>
    </row>
    <row r="1463">
      <c r="A1463" s="74" t="n">
        <v>100188</v>
      </c>
      <c r="B1463" t="inlineStr">
        <is>
          <t>TABUENCA, CARLOS ENRIQUE</t>
        </is>
      </c>
    </row>
    <row r="1464">
      <c r="A1464" s="73" t="inlineStr">
        <is>
          <t>100485-1</t>
        </is>
      </c>
      <c r="B1464" t="inlineStr">
        <is>
          <t>ALVAREZ, VANESA SOLEDAD</t>
        </is>
      </c>
    </row>
    <row r="1465">
      <c r="A1465" s="74" t="n">
        <v>100098</v>
      </c>
      <c r="B1465" t="inlineStr">
        <is>
          <t>ORLANDAU CRISTIAN ISRAEL</t>
        </is>
      </c>
    </row>
    <row r="1466">
      <c r="A1466" s="74" t="n">
        <v>600008</v>
      </c>
      <c r="B1466" t="inlineStr">
        <is>
          <t>SERVICIOS Y COMERCIAL CYS  SPA</t>
        </is>
      </c>
    </row>
    <row r="1467">
      <c r="A1467" s="74" t="n">
        <v>600081</v>
      </c>
      <c r="B1467" t="inlineStr">
        <is>
          <t>ADM DE FRANQUICIAS Y PROP PUER</t>
        </is>
      </c>
    </row>
    <row r="1468">
      <c r="A1468" s="74" t="n">
        <v>600000</v>
      </c>
      <c r="B1468" t="inlineStr">
        <is>
          <t>ALIMENTOS HELADERIA Y CAFETERI</t>
        </is>
      </c>
    </row>
    <row r="1469">
      <c r="A1469" s="74" t="n">
        <v>600082</v>
      </c>
      <c r="B1469" t="inlineStr">
        <is>
          <t>ALIMENTOS, HELADERÍA Y CAFETER</t>
        </is>
      </c>
    </row>
    <row r="1470">
      <c r="A1470" s="74" t="n">
        <v>700012</v>
      </c>
      <c r="B1470" t="inlineStr">
        <is>
          <t>FRANCO BEAUFORT, MARIA NOEMI</t>
        </is>
      </c>
    </row>
    <row r="1471">
      <c r="A1471" s="74" t="n">
        <v>700016</v>
      </c>
      <c r="B1471" t="inlineStr">
        <is>
          <t>SOUBERVILLE, DIEGO JAVIER</t>
        </is>
      </c>
    </row>
    <row r="1472">
      <c r="A1472" s="74" t="n">
        <v>100356</v>
      </c>
      <c r="B1472" t="inlineStr">
        <is>
          <t>VIA, DANIEL MANUEL</t>
        </is>
      </c>
    </row>
    <row r="1473">
      <c r="A1473" s="73" t="inlineStr">
        <is>
          <t>100437-1</t>
        </is>
      </c>
      <c r="B1473" t="inlineStr">
        <is>
          <t>SARAVIA, GABRIELA LOURDES</t>
        </is>
      </c>
    </row>
    <row r="1474">
      <c r="A1474" s="74" t="n">
        <v>700018</v>
      </c>
      <c r="B1474" t="inlineStr">
        <is>
          <t>NIN BENITEZ, MAYRA KARINA</t>
        </is>
      </c>
    </row>
    <row r="1475">
      <c r="A1475" s="74" t="n">
        <v>500012</v>
      </c>
      <c r="B1475" t="inlineStr">
        <is>
          <t>HECCAR S.R.L.</t>
        </is>
      </c>
    </row>
    <row r="1476">
      <c r="A1476" s="73" t="inlineStr">
        <is>
          <t>100642-7</t>
        </is>
      </c>
      <c r="B1476" t="inlineStr">
        <is>
          <t>CONSTANTINO S.R.L.</t>
        </is>
      </c>
    </row>
    <row r="1477">
      <c r="A1477" s="74" t="n">
        <v>100315</v>
      </c>
      <c r="B1477" t="inlineStr">
        <is>
          <t>QUERCIA, VANESA VALERIA</t>
        </is>
      </c>
    </row>
    <row r="1478">
      <c r="A1478" s="74" t="n">
        <v>100082</v>
      </c>
      <c r="B1478" t="inlineStr">
        <is>
          <t>FERRANDO, MIGUEL ANGEL</t>
        </is>
      </c>
    </row>
    <row r="1479">
      <c r="A1479" s="74" t="n">
        <v>101323</v>
      </c>
      <c r="B1479" t="inlineStr">
        <is>
          <t>MENTA X 2 S.A.S.</t>
        </is>
      </c>
    </row>
    <row r="1480">
      <c r="A1480" s="74" t="n">
        <v>100303</v>
      </c>
      <c r="B1480" t="inlineStr">
        <is>
          <t>VERO, SERGIO OMAR</t>
        </is>
      </c>
    </row>
    <row r="1481">
      <c r="A1481" s="74" t="n">
        <v>700019</v>
      </c>
      <c r="B1481" t="inlineStr">
        <is>
          <t>GONZALEZ MENDOZA, GRACIELA BEL</t>
        </is>
      </c>
    </row>
    <row r="1482">
      <c r="A1482" s="74" t="n">
        <v>700036</v>
      </c>
      <c r="B1482" t="inlineStr">
        <is>
          <t>GIMENEZ FRANCO, DODA GABRIELA</t>
        </is>
      </c>
    </row>
    <row r="1483">
      <c r="A1483" s="74" t="n">
        <v>100249</v>
      </c>
      <c r="B1483" t="inlineStr">
        <is>
          <t>ESCOBAR QUIÑONES, FERNANDO</t>
        </is>
      </c>
    </row>
    <row r="1484">
      <c r="A1484" s="73" t="inlineStr">
        <is>
          <t>100779-1</t>
        </is>
      </c>
      <c r="B1484" t="inlineStr">
        <is>
          <t>BENCAND S.R.L.</t>
        </is>
      </c>
    </row>
    <row r="1485">
      <c r="A1485" s="74" t="n">
        <v>100034</v>
      </c>
      <c r="B1485" t="inlineStr">
        <is>
          <t>CASTRO, SERGIO OMAR</t>
        </is>
      </c>
    </row>
    <row r="1486">
      <c r="A1486" s="74" t="n">
        <v>100268</v>
      </c>
      <c r="B1486" t="inlineStr">
        <is>
          <t>MARTINEZ, GABRIEL NICOLAS</t>
        </is>
      </c>
    </row>
    <row r="1487">
      <c r="A1487" s="74" t="n">
        <v>100787</v>
      </c>
      <c r="B1487" t="inlineStr">
        <is>
          <t>CROCI, FERNANDO ARIEL</t>
        </is>
      </c>
    </row>
    <row r="1488">
      <c r="A1488" s="73" t="inlineStr">
        <is>
          <t>100971-1</t>
        </is>
      </c>
      <c r="B1488" t="inlineStr">
        <is>
          <t>LAMI, NATALIA SOLEDAD</t>
        </is>
      </c>
    </row>
    <row r="1489">
      <c r="A1489" s="74" t="n">
        <v>100101</v>
      </c>
      <c r="B1489" t="inlineStr">
        <is>
          <t>DAVALOS, CESAR MANUEL</t>
        </is>
      </c>
    </row>
    <row r="1490">
      <c r="A1490" s="73" t="inlineStr">
        <is>
          <t>100181-1</t>
        </is>
      </c>
      <c r="B1490" t="inlineStr">
        <is>
          <t>NAVARRO, ENRIQUE OSVALDO</t>
        </is>
      </c>
    </row>
    <row r="1491">
      <c r="A1491" s="73" t="inlineStr">
        <is>
          <t>100651-10</t>
        </is>
      </c>
      <c r="B1491" t="inlineStr">
        <is>
          <t>VASIL S.R.L.</t>
        </is>
      </c>
    </row>
    <row r="1492">
      <c r="A1492" s="73" t="inlineStr">
        <is>
          <t>100093-1</t>
        </is>
      </c>
      <c r="B1492" t="inlineStr">
        <is>
          <t>AMAYA, DARIO TARSICIO</t>
        </is>
      </c>
    </row>
    <row r="1493">
      <c r="A1493" s="74" t="n">
        <v>100864</v>
      </c>
      <c r="B1493" t="inlineStr">
        <is>
          <t>NAYAR, ROXANA VERONICA</t>
        </is>
      </c>
    </row>
    <row r="1494">
      <c r="A1494" s="74" t="n">
        <v>700020</v>
      </c>
      <c r="B1494" t="inlineStr">
        <is>
          <t>RODRIGUEZ VASSALLO, JUAN MARCE</t>
        </is>
      </c>
    </row>
    <row r="1495">
      <c r="A1495" s="74" t="n">
        <v>100822</v>
      </c>
      <c r="B1495" t="inlineStr">
        <is>
          <t>F &amp; L SOCIEDAD ANONIMA (En For</t>
        </is>
      </c>
    </row>
    <row r="1496">
      <c r="A1496" s="73" t="inlineStr">
        <is>
          <t> </t>
        </is>
      </c>
      <c r="B1496" t="inlineStr">
        <is>
          <t> </t>
        </is>
      </c>
    </row>
    <row r="1497">
      <c r="A1497" s="73" t="inlineStr">
        <is>
          <t>100423-2</t>
        </is>
      </c>
      <c r="B1497" t="inlineStr">
        <is>
          <t>ZANEK GRICELDA BEATRIZ</t>
        </is>
      </c>
    </row>
    <row r="1498">
      <c r="A1498" s="74" t="n">
        <v>100880</v>
      </c>
      <c r="B1498" t="inlineStr">
        <is>
          <t>OTERO, MAURICIO GERMAN</t>
        </is>
      </c>
    </row>
    <row r="1499">
      <c r="A1499" s="74" t="n">
        <v>100878</v>
      </c>
      <c r="B1499" t="inlineStr">
        <is>
          <t>GROSSI, NICOLAS</t>
        </is>
      </c>
    </row>
    <row r="1500">
      <c r="A1500" s="74" t="n">
        <v>100883</v>
      </c>
      <c r="B1500" t="inlineStr">
        <is>
          <t>TEZUR ZFDC S.R.L.</t>
        </is>
      </c>
    </row>
    <row r="1501">
      <c r="A1501" s="74" t="n">
        <v>101186</v>
      </c>
      <c r="B1501" t="inlineStr">
        <is>
          <t>NACIONES UNIDAS SAS</t>
        </is>
      </c>
    </row>
    <row r="1502">
      <c r="A1502" s="73" t="inlineStr">
        <is>
          <t>101109-1</t>
        </is>
      </c>
      <c r="B1502" t="inlineStr">
        <is>
          <t>LENA COMPANY S.A</t>
        </is>
      </c>
    </row>
    <row r="1503">
      <c r="A1503" s="73" t="inlineStr">
        <is>
          <t>100712-2</t>
        </is>
      </c>
      <c r="B1503" t="inlineStr">
        <is>
          <t>BASE SUR S.R.L.</t>
        </is>
      </c>
    </row>
    <row r="1504">
      <c r="A1504" s="74" t="n">
        <v>101395</v>
      </c>
      <c r="B1504" t="inlineStr">
        <is>
          <t>NAMAK S.R.L.</t>
        </is>
      </c>
    </row>
    <row r="1505">
      <c r="A1505" s="73" t="inlineStr">
        <is>
          <t>100707-1</t>
        </is>
      </c>
      <c r="B1505" t="inlineStr">
        <is>
          <t>GARCIA F Y PEREYRO E S.H.</t>
        </is>
      </c>
    </row>
    <row r="1506">
      <c r="A1506" s="74" t="n">
        <v>100910</v>
      </c>
      <c r="B1506" t="inlineStr">
        <is>
          <t>ZINI, DIEGO JOSE</t>
        </is>
      </c>
    </row>
    <row r="1507">
      <c r="A1507" s="74" t="n">
        <v>100909</v>
      </c>
      <c r="B1507" t="inlineStr">
        <is>
          <t>PADRON SOUSA LEANDRO GABRIEL</t>
        </is>
      </c>
    </row>
    <row r="1508">
      <c r="A1508" s="73" t="inlineStr">
        <is>
          <t>100068-1</t>
        </is>
      </c>
      <c r="B1508" t="inlineStr">
        <is>
          <t>CHORNOBROFF, GUSTAVO DANIEL</t>
        </is>
      </c>
    </row>
    <row r="1509">
      <c r="A1509" s="74" t="n">
        <v>100908</v>
      </c>
      <c r="B1509" t="inlineStr">
        <is>
          <t>JGC S.R.L.</t>
        </is>
      </c>
    </row>
    <row r="1510">
      <c r="A1510" s="73" t="inlineStr">
        <is>
          <t>100107-5</t>
        </is>
      </c>
      <c r="B1510" t="inlineStr">
        <is>
          <t>SANCHEZ, JULIO HERNAN</t>
        </is>
      </c>
    </row>
    <row r="1511">
      <c r="A1511" s="73" t="inlineStr">
        <is>
          <t>100645-3</t>
        </is>
      </c>
      <c r="B1511" t="inlineStr">
        <is>
          <t>CORRIENTES HELADAS S.R.L.</t>
        </is>
      </c>
    </row>
    <row r="1512">
      <c r="A1512" s="74" t="n">
        <v>100917</v>
      </c>
      <c r="B1512" t="inlineStr">
        <is>
          <t>ISABELLA VALENZI, JOSE ANTONIO</t>
        </is>
      </c>
    </row>
    <row r="1513">
      <c r="A1513" s="74" t="n">
        <v>100904</v>
      </c>
      <c r="B1513" t="inlineStr">
        <is>
          <t>BEÑACAR, JOSE MARIANO</t>
        </is>
      </c>
    </row>
    <row r="1514">
      <c r="A1514" s="74" t="n">
        <v>100911</v>
      </c>
      <c r="B1514" t="inlineStr">
        <is>
          <t>BERLUMA S.R.L.</t>
        </is>
      </c>
    </row>
    <row r="1515">
      <c r="A1515" s="74" t="n">
        <v>100903</v>
      </c>
      <c r="B1515" t="inlineStr">
        <is>
          <t>SCHIRO, MARIELA LUJAN</t>
        </is>
      </c>
    </row>
    <row r="1516">
      <c r="A1516" s="74" t="n">
        <v>700024</v>
      </c>
      <c r="B1516" t="inlineStr">
        <is>
          <t>GONZALEZ BENITEZ, MYRIAN LOREN</t>
        </is>
      </c>
    </row>
    <row r="1517">
      <c r="A1517" s="74" t="n">
        <v>700023</v>
      </c>
      <c r="B1517" t="inlineStr">
        <is>
          <t>TECNI FROST S.A.</t>
        </is>
      </c>
    </row>
    <row r="1518">
      <c r="A1518" s="73" t="inlineStr">
        <is>
          <t>100598-3</t>
        </is>
      </c>
      <c r="B1518" t="inlineStr">
        <is>
          <t>MODOS SA</t>
        </is>
      </c>
    </row>
    <row r="1519">
      <c r="A1519" s="74" t="n">
        <v>101123</v>
      </c>
      <c r="B1519" t="inlineStr">
        <is>
          <t>FERRARI DIEGO ALEJANDRO</t>
        </is>
      </c>
    </row>
    <row r="1520">
      <c r="A1520" s="74" t="n">
        <v>700054</v>
      </c>
      <c r="B1520" t="inlineStr">
        <is>
          <t>PATRICIO CAUDET</t>
        </is>
      </c>
    </row>
    <row r="1521">
      <c r="A1521" s="74" t="n">
        <v>700025</v>
      </c>
      <c r="B1521" t="inlineStr">
        <is>
          <t>FERREIRA MATTO, AGUEDA LINA</t>
        </is>
      </c>
    </row>
    <row r="1522">
      <c r="A1522" s="74" t="n">
        <v>700026</v>
      </c>
      <c r="B1522" t="inlineStr">
        <is>
          <t>GOMEZ CHAVEZ, DOLLY</t>
        </is>
      </c>
    </row>
    <row r="1523">
      <c r="A1523" s="74" t="n">
        <v>700027</v>
      </c>
      <c r="B1523" t="inlineStr">
        <is>
          <t>VALINOTTI BAREIRO, CLAUDIA</t>
        </is>
      </c>
    </row>
    <row r="1524">
      <c r="A1524" s="74" t="n">
        <v>100925</v>
      </c>
      <c r="B1524" t="inlineStr">
        <is>
          <t>SCHEUCHER ERICK HEINZ</t>
        </is>
      </c>
    </row>
    <row r="1525">
      <c r="A1525" s="74" t="n">
        <v>700110</v>
      </c>
      <c r="B1525" t="inlineStr">
        <is>
          <t>MOLINA CARLOS ANDRES</t>
        </is>
      </c>
    </row>
    <row r="1526">
      <c r="A1526" s="74" t="n">
        <v>700030</v>
      </c>
      <c r="B1526" t="inlineStr">
        <is>
          <t>MELGAREJO GUERREROS, LUIS ALBE</t>
        </is>
      </c>
    </row>
    <row r="1527">
      <c r="A1527" s="74" t="n">
        <v>100923</v>
      </c>
      <c r="B1527" t="inlineStr">
        <is>
          <t>RIOS, CRISTIAN RICARDO</t>
        </is>
      </c>
    </row>
    <row r="1528">
      <c r="A1528" s="73" t="inlineStr">
        <is>
          <t>100508-1</t>
        </is>
      </c>
      <c r="B1528" t="inlineStr">
        <is>
          <t>DE GIOVANETTI, ROMINA JULIETA</t>
        </is>
      </c>
    </row>
    <row r="1529">
      <c r="A1529" s="74" t="n">
        <v>100939</v>
      </c>
      <c r="B1529" t="inlineStr">
        <is>
          <t>SALIDO, ANALIA VERONICA</t>
        </is>
      </c>
    </row>
    <row r="1530">
      <c r="A1530" s="73" t="inlineStr">
        <is>
          <t>100150-1</t>
        </is>
      </c>
      <c r="B1530" t="inlineStr">
        <is>
          <t>LOPEZ, PABLO ARTURO</t>
        </is>
      </c>
    </row>
    <row r="1531">
      <c r="A1531" s="74" t="n">
        <v>100884</v>
      </c>
      <c r="B1531" t="inlineStr">
        <is>
          <t>OLMOS, EMILIO FERNANDO</t>
        </is>
      </c>
    </row>
    <row r="1532">
      <c r="A1532" s="73" t="inlineStr">
        <is>
          <t>100058-1</t>
        </is>
      </c>
      <c r="B1532" t="inlineStr">
        <is>
          <t>PALACIOS, CARLOS GUILLERMO</t>
        </is>
      </c>
    </row>
    <row r="1533">
      <c r="A1533" s="73" t="inlineStr">
        <is>
          <t>100591-7</t>
        </is>
      </c>
      <c r="B1533" t="inlineStr">
        <is>
          <t>AFIN S.R.L.</t>
        </is>
      </c>
    </row>
    <row r="1534">
      <c r="A1534" s="73" t="inlineStr">
        <is>
          <t>100593-1</t>
        </is>
      </c>
      <c r="B1534" t="inlineStr">
        <is>
          <t>AIRES DEL CENTRO S.A.</t>
        </is>
      </c>
    </row>
    <row r="1535">
      <c r="A1535" s="73" t="inlineStr">
        <is>
          <t>100013-2</t>
        </is>
      </c>
      <c r="B1535" t="inlineStr">
        <is>
          <t>BERTINO, MIGUEL ANGEL</t>
        </is>
      </c>
    </row>
    <row r="1536">
      <c r="A1536" s="74" t="n">
        <v>100439</v>
      </c>
      <c r="B1536" t="inlineStr">
        <is>
          <t>GUEVARA, MARIA FERNANDA</t>
        </is>
      </c>
    </row>
    <row r="1537">
      <c r="A1537" s="74" t="n">
        <v>100587</v>
      </c>
      <c r="B1537" t="inlineStr">
        <is>
          <t>J &amp; T S.R.L.</t>
        </is>
      </c>
    </row>
    <row r="1538">
      <c r="A1538" s="74" t="n">
        <v>100597</v>
      </c>
      <c r="B1538" t="inlineStr">
        <is>
          <t>LE GLACIER SRL</t>
        </is>
      </c>
    </row>
    <row r="1539">
      <c r="A1539" s="73" t="inlineStr">
        <is>
          <t>100337-1</t>
        </is>
      </c>
      <c r="B1539" t="inlineStr">
        <is>
          <t>MANSILLA VERA, LUCAS DANIEL</t>
        </is>
      </c>
    </row>
    <row r="1540">
      <c r="A1540" s="74" t="n">
        <v>100664</v>
      </c>
      <c r="B1540" t="inlineStr">
        <is>
          <t>SANTA CRISTINA S.A.</t>
        </is>
      </c>
    </row>
    <row r="1541">
      <c r="A1541" s="73" t="inlineStr">
        <is>
          <t>100109-6</t>
        </is>
      </c>
      <c r="B1541" t="inlineStr">
        <is>
          <t>SUAREZ, MARIANO CARLOS</t>
        </is>
      </c>
    </row>
    <row r="1542">
      <c r="A1542" s="73" t="inlineStr">
        <is>
          <t>100613-3</t>
        </is>
      </c>
      <c r="B1542" t="inlineStr">
        <is>
          <t>ZENFA S.R.L.</t>
        </is>
      </c>
    </row>
    <row r="1543">
      <c r="A1543" s="74" t="n">
        <v>100946</v>
      </c>
      <c r="B1543" t="inlineStr">
        <is>
          <t>TORANZOS, SUSANA ELIZABETH</t>
        </is>
      </c>
    </row>
    <row r="1544">
      <c r="A1544" s="74" t="n">
        <v>100810</v>
      </c>
      <c r="B1544" t="inlineStr">
        <is>
          <t>DEL BARCO SRL</t>
        </is>
      </c>
    </row>
    <row r="1545">
      <c r="A1545" s="74" t="n">
        <v>100801</v>
      </c>
      <c r="B1545" t="inlineStr">
        <is>
          <t>GALVEZ HNOS</t>
        </is>
      </c>
    </row>
    <row r="1546">
      <c r="A1546" s="73" t="inlineStr">
        <is>
          <t>100620-3</t>
        </is>
      </c>
      <c r="B1546" t="inlineStr">
        <is>
          <t>SWEET CREAMS S.R.L.</t>
        </is>
      </c>
    </row>
    <row r="1547">
      <c r="A1547" s="74" t="n">
        <v>100821</v>
      </c>
      <c r="B1547" t="inlineStr">
        <is>
          <t>SIERRAS CHICAS S.R.L.</t>
        </is>
      </c>
    </row>
    <row r="1548">
      <c r="A1548" s="74" t="n">
        <v>600024</v>
      </c>
      <c r="B1548" t="inlineStr">
        <is>
          <t>COM P&amp;D LTDA</t>
        </is>
      </c>
    </row>
    <row r="1549">
      <c r="A1549" s="74" t="n">
        <v>100951</v>
      </c>
      <c r="B1549" t="inlineStr">
        <is>
          <t>LAMI, MARIA VICTORIA</t>
        </is>
      </c>
    </row>
    <row r="1550">
      <c r="A1550" s="74" t="n">
        <v>101373</v>
      </c>
      <c r="B1550" t="inlineStr">
        <is>
          <t>SASTRE DAIANA</t>
        </is>
      </c>
    </row>
    <row r="1551">
      <c r="A1551" s="74" t="n">
        <v>100954</v>
      </c>
      <c r="B1551" t="inlineStr">
        <is>
          <t>ALTRUISTAS S.A.S.</t>
        </is>
      </c>
    </row>
    <row r="1552">
      <c r="A1552" s="74" t="n">
        <v>100955</v>
      </c>
      <c r="B1552" t="inlineStr">
        <is>
          <t>MONTANARI, GABRIELA CECILIA</t>
        </is>
      </c>
    </row>
    <row r="1553">
      <c r="A1553" s="74" t="n">
        <v>100956</v>
      </c>
      <c r="B1553" t="inlineStr">
        <is>
          <t>GARCIA ZONZA, MAURO SIMON</t>
        </is>
      </c>
    </row>
    <row r="1554">
      <c r="A1554" s="73" t="inlineStr">
        <is>
          <t>100260-1</t>
        </is>
      </c>
      <c r="B1554" t="inlineStr">
        <is>
          <t>LEGUIZAMON, HUGO HERNAN</t>
        </is>
      </c>
    </row>
    <row r="1555">
      <c r="A1555" s="73" t="inlineStr">
        <is>
          <t>100557-1</t>
        </is>
      </c>
      <c r="B1555" t="inlineStr">
        <is>
          <t>LO PINTO, DIORELLA GISELLE</t>
        </is>
      </c>
    </row>
    <row r="1556">
      <c r="A1556" s="74" t="n">
        <v>600033</v>
      </c>
      <c r="B1556" t="inlineStr">
        <is>
          <t>SOCIEDAD COMERCIAL ORTEGA FRAN</t>
        </is>
      </c>
    </row>
    <row r="1557">
      <c r="A1557" s="74" t="n">
        <v>100957</v>
      </c>
      <c r="B1557" t="inlineStr">
        <is>
          <t>ARREGUEZ, RODRIGO MARTIN</t>
        </is>
      </c>
    </row>
    <row r="1558">
      <c r="A1558" s="73" t="inlineStr">
        <is>
          <t>100326-1</t>
        </is>
      </c>
      <c r="B1558" t="inlineStr">
        <is>
          <t>GONZALEZ BRAU, MATIAS</t>
        </is>
      </c>
    </row>
    <row r="1559">
      <c r="A1559" s="74" t="n">
        <v>100960</v>
      </c>
      <c r="B1559" t="inlineStr">
        <is>
          <t>ROMERO, MARIANO ARIEL</t>
        </is>
      </c>
    </row>
    <row r="1560">
      <c r="A1560" s="74" t="n">
        <v>100961</v>
      </c>
      <c r="B1560" t="inlineStr">
        <is>
          <t>PACO Y NINA S.R.L.</t>
        </is>
      </c>
    </row>
    <row r="1561">
      <c r="A1561" s="73" t="inlineStr">
        <is>
          <t>100215-1</t>
        </is>
      </c>
      <c r="B1561" t="inlineStr">
        <is>
          <t>SAN MARTIN, CLAUDIO ANIBAL</t>
        </is>
      </c>
    </row>
    <row r="1562">
      <c r="A1562" s="73" t="inlineStr">
        <is>
          <t>100636-3</t>
        </is>
      </c>
      <c r="B1562" t="inlineStr">
        <is>
          <t>LIMA MARIO D. Y ALAVA R. SERGI</t>
        </is>
      </c>
    </row>
    <row r="1563">
      <c r="A1563" s="73" t="inlineStr">
        <is>
          <t>100748-1</t>
        </is>
      </c>
      <c r="B1563" t="inlineStr">
        <is>
          <t>GRIBEL S.R.L.</t>
        </is>
      </c>
    </row>
    <row r="1564">
      <c r="A1564" s="73" t="inlineStr">
        <is>
          <t>100069-5</t>
        </is>
      </c>
      <c r="B1564" t="inlineStr">
        <is>
          <t>DE SIMONE PABLO</t>
        </is>
      </c>
    </row>
    <row r="1565">
      <c r="A1565" s="74" t="n">
        <v>100958</v>
      </c>
      <c r="B1565" t="inlineStr">
        <is>
          <t>PANAGRI PUSH S.A.S.</t>
        </is>
      </c>
    </row>
    <row r="1566">
      <c r="A1566" s="73" t="inlineStr">
        <is>
          <t>100547-1</t>
        </is>
      </c>
      <c r="B1566" t="inlineStr">
        <is>
          <t>CHENA, ANA CAROLINA</t>
        </is>
      </c>
    </row>
    <row r="1567">
      <c r="A1567" s="73" t="inlineStr">
        <is>
          <t>100882-1</t>
        </is>
      </c>
      <c r="B1567" t="inlineStr">
        <is>
          <t>PRESTI NOELIA VANESA</t>
        </is>
      </c>
    </row>
    <row r="1568">
      <c r="A1568" s="73" t="inlineStr">
        <is>
          <t>100588-4</t>
        </is>
      </c>
      <c r="B1568" t="inlineStr">
        <is>
          <t>VICTORIO CATERING SRL</t>
        </is>
      </c>
    </row>
    <row r="1569">
      <c r="A1569" s="74" t="n">
        <v>100965</v>
      </c>
      <c r="B1569" t="inlineStr">
        <is>
          <t>VAZQUEZ, SANDRA SUSANA</t>
        </is>
      </c>
    </row>
    <row r="1570">
      <c r="A1570" s="74" t="n">
        <v>600007</v>
      </c>
      <c r="B1570" t="inlineStr">
        <is>
          <t>SOCIEDAD GASTRONOMICA MACRI LT</t>
        </is>
      </c>
    </row>
    <row r="1571">
      <c r="A1571" s="74" t="n">
        <v>700031</v>
      </c>
      <c r="B1571" t="inlineStr">
        <is>
          <t>GONZALEZ LEON, LAURA MARGARITA</t>
        </is>
      </c>
    </row>
    <row r="1572">
      <c r="A1572" s="74" t="n">
        <v>100967</v>
      </c>
      <c r="B1572" t="inlineStr">
        <is>
          <t>GONZALEZ, DIEGO HERNAN</t>
        </is>
      </c>
    </row>
    <row r="1573">
      <c r="A1573" s="74" t="n">
        <v>100968</v>
      </c>
      <c r="B1573" t="inlineStr">
        <is>
          <t>CAHISA, JORGE ANDRES</t>
        </is>
      </c>
    </row>
    <row r="1574">
      <c r="A1574" s="73" t="inlineStr">
        <is>
          <t>100897-1</t>
        </is>
      </c>
      <c r="B1574" t="inlineStr">
        <is>
          <t>OYHENART, MARIA CAROLA</t>
        </is>
      </c>
    </row>
    <row r="1575">
      <c r="A1575" s="73" t="inlineStr">
        <is>
          <t>100750-1</t>
        </is>
      </c>
      <c r="B1575" t="inlineStr">
        <is>
          <t>FAUFROST S.R.L.</t>
        </is>
      </c>
    </row>
    <row r="1576">
      <c r="A1576" s="74" t="n">
        <v>100966</v>
      </c>
      <c r="B1576" t="inlineStr">
        <is>
          <t>RODRIGUEZ PAZ, MARIA ALFONSINA</t>
        </is>
      </c>
    </row>
    <row r="1577">
      <c r="A1577" s="74" t="n">
        <v>100970</v>
      </c>
      <c r="B1577" t="inlineStr">
        <is>
          <t>PANDURI, MELINA</t>
        </is>
      </c>
    </row>
    <row r="1578">
      <c r="A1578" s="74" t="n">
        <v>100972</v>
      </c>
      <c r="B1578" t="inlineStr">
        <is>
          <t>DIAZ, EDUARDO DAVID</t>
        </is>
      </c>
    </row>
    <row r="1579">
      <c r="A1579" s="73" t="inlineStr">
        <is>
          <t>100730-1</t>
        </is>
      </c>
      <c r="B1579" t="inlineStr">
        <is>
          <t>HIPOLITITO S.R.L.</t>
        </is>
      </c>
    </row>
    <row r="1580">
      <c r="A1580" s="73" t="inlineStr">
        <is>
          <t>100531-1</t>
        </is>
      </c>
      <c r="B1580" t="inlineStr">
        <is>
          <t>BELCORE, LUISINA EMILIA</t>
        </is>
      </c>
    </row>
    <row r="1581">
      <c r="A1581" s="74" t="n">
        <v>100973</v>
      </c>
      <c r="B1581" t="inlineStr">
        <is>
          <t>SANDOVALS, ROBERTO CARLOS</t>
        </is>
      </c>
    </row>
    <row r="1582">
      <c r="A1582" s="73" t="inlineStr">
        <is>
          <t> </t>
        </is>
      </c>
      <c r="B1582" t="inlineStr">
        <is>
          <t> </t>
        </is>
      </c>
    </row>
    <row r="1583">
      <c r="A1583" s="73" t="inlineStr">
        <is>
          <t>100429-2</t>
        </is>
      </c>
      <c r="B1583" t="inlineStr">
        <is>
          <t>OYHENART, MARIA VIRGINIA</t>
        </is>
      </c>
    </row>
    <row r="1584">
      <c r="A1584" s="74" t="n">
        <v>100978</v>
      </c>
      <c r="B1584" t="inlineStr">
        <is>
          <t>LIBERALI CARLOS EZEQUIEL</t>
        </is>
      </c>
    </row>
    <row r="1585">
      <c r="A1585" s="74" t="n">
        <v>101239</v>
      </c>
      <c r="B1585" t="inlineStr">
        <is>
          <t>DEL NEGRO MARCELO OSVALDO</t>
        </is>
      </c>
    </row>
    <row r="1586">
      <c r="A1586" s="74" t="n">
        <v>101108</v>
      </c>
      <c r="B1586" t="inlineStr">
        <is>
          <t>LA FLIA S.A.S.</t>
        </is>
      </c>
    </row>
    <row r="1587">
      <c r="A1587" s="74" t="n">
        <v>100969</v>
      </c>
      <c r="B1587" t="inlineStr">
        <is>
          <t>DEARMAS GARCIA, NADIA SOLEDAD</t>
        </is>
      </c>
    </row>
    <row r="1588">
      <c r="A1588" s="74" t="n">
        <v>100979</v>
      </c>
      <c r="B1588" t="inlineStr">
        <is>
          <t>COSTA, SILVIA SOLEDAD</t>
        </is>
      </c>
    </row>
    <row r="1589">
      <c r="A1589" s="73" t="inlineStr">
        <is>
          <t>100651-11</t>
        </is>
      </c>
      <c r="B1589" t="inlineStr">
        <is>
          <t>VASIL S.R.L.</t>
        </is>
      </c>
    </row>
    <row r="1590">
      <c r="A1590" s="73" t="inlineStr">
        <is>
          <t>100169-1</t>
        </is>
      </c>
      <c r="B1590" t="inlineStr">
        <is>
          <t>REIG, MAXIMILIANO JAVIER</t>
        </is>
      </c>
    </row>
    <row r="1591">
      <c r="A1591" s="74" t="n">
        <v>100983</v>
      </c>
      <c r="B1591" t="inlineStr">
        <is>
          <t>MARRERO, ROMINA GISELA</t>
        </is>
      </c>
    </row>
    <row r="1592">
      <c r="A1592" s="73" t="inlineStr">
        <is>
          <t>100640-5</t>
        </is>
      </c>
      <c r="B1592" t="inlineStr">
        <is>
          <t>BASE AZUL S.R.L.</t>
        </is>
      </c>
    </row>
    <row r="1593">
      <c r="A1593" s="74" t="n">
        <v>100971</v>
      </c>
      <c r="B1593" t="inlineStr">
        <is>
          <t>LAMI, NATALIA SOLEDAD</t>
        </is>
      </c>
    </row>
    <row r="1594">
      <c r="A1594" s="74" t="n">
        <v>100982</v>
      </c>
      <c r="B1594" t="inlineStr">
        <is>
          <t>AMBROSINI, HERNAN</t>
        </is>
      </c>
    </row>
    <row r="1595">
      <c r="A1595" s="74" t="n">
        <v>100985</v>
      </c>
      <c r="B1595" t="inlineStr">
        <is>
          <t>RACCIATTI, MARIANO LUCAS</t>
        </is>
      </c>
    </row>
    <row r="1596">
      <c r="A1596" s="74" t="n">
        <v>101306</v>
      </c>
      <c r="B1596" t="inlineStr">
        <is>
          <t>LEMOS CHRISTIAN ARIEL</t>
        </is>
      </c>
    </row>
    <row r="1597">
      <c r="A1597" s="74" t="n">
        <v>100987</v>
      </c>
      <c r="B1597" t="inlineStr">
        <is>
          <t>GALLEGO, SEBASTIAN</t>
        </is>
      </c>
    </row>
    <row r="1598">
      <c r="A1598" s="74" t="n">
        <v>700032</v>
      </c>
      <c r="B1598" t="inlineStr">
        <is>
          <t>PALADINO, MAXIMO RAUL</t>
        </is>
      </c>
    </row>
    <row r="1599">
      <c r="A1599" s="74" t="n">
        <v>700048</v>
      </c>
      <c r="B1599" t="inlineStr">
        <is>
          <t>NUEVOS AIRES S.R.L.</t>
        </is>
      </c>
    </row>
    <row r="1600">
      <c r="A1600" s="74" t="n">
        <v>700033</v>
      </c>
      <c r="B1600" t="inlineStr">
        <is>
          <t>ARAUJO MONGELOS, SONIA PAOLA</t>
        </is>
      </c>
    </row>
    <row r="1601">
      <c r="A1601" s="73" t="inlineStr">
        <is>
          <t> </t>
        </is>
      </c>
      <c r="B1601" t="inlineStr">
        <is>
          <t> </t>
        </is>
      </c>
    </row>
    <row r="1602">
      <c r="A1602" s="73" t="inlineStr">
        <is>
          <t>100291-1</t>
        </is>
      </c>
      <c r="B1602" t="inlineStr">
        <is>
          <t>NACHTIGAL, CARLOS GUSTAVO M</t>
        </is>
      </c>
    </row>
    <row r="1603">
      <c r="A1603" s="73" t="inlineStr">
        <is>
          <t> </t>
        </is>
      </c>
      <c r="B1603" t="inlineStr">
        <is>
          <t> </t>
        </is>
      </c>
    </row>
    <row r="1604">
      <c r="A1604" s="73" t="inlineStr">
        <is>
          <t>100636-4</t>
        </is>
      </c>
      <c r="B1604" t="inlineStr">
        <is>
          <t>LIMA MARIO D. Y ALAVA R. SERGI</t>
        </is>
      </c>
    </row>
    <row r="1605">
      <c r="A1605" s="74" t="n">
        <v>100991</v>
      </c>
      <c r="B1605" t="inlineStr">
        <is>
          <t>HERNANDEZ RODRIGUEZ MARIA MARG</t>
        </is>
      </c>
    </row>
    <row r="1606">
      <c r="A1606" s="74" t="n">
        <v>700034</v>
      </c>
      <c r="B1606" t="inlineStr">
        <is>
          <t>FLEITAS ORTIZ, GESSY CAROLINA</t>
        </is>
      </c>
    </row>
    <row r="1607">
      <c r="A1607" s="74" t="n">
        <v>700035</v>
      </c>
      <c r="B1607" t="inlineStr">
        <is>
          <t>LEON, JORGE EDUARDO</t>
        </is>
      </c>
    </row>
    <row r="1608">
      <c r="A1608" s="73" t="inlineStr">
        <is>
          <t>100756-7</t>
        </is>
      </c>
      <c r="B1608" t="inlineStr">
        <is>
          <t>MM CONGELADOS S.R.L.</t>
        </is>
      </c>
    </row>
    <row r="1609">
      <c r="A1609" s="74" t="n">
        <v>100996</v>
      </c>
      <c r="B1609" t="inlineStr">
        <is>
          <t>CASTRO, EMILSE NOELIA</t>
        </is>
      </c>
    </row>
    <row r="1610">
      <c r="A1610" s="73" t="inlineStr">
        <is>
          <t>100423-1</t>
        </is>
      </c>
      <c r="B1610" t="inlineStr">
        <is>
          <t>ZANEK GRICELDA BEATRIZ</t>
        </is>
      </c>
    </row>
    <row r="1611">
      <c r="A1611" s="73" t="inlineStr">
        <is>
          <t>100560-1</t>
        </is>
      </c>
      <c r="B1611" t="inlineStr">
        <is>
          <t>MONACO, MAILEN AYELEN</t>
        </is>
      </c>
    </row>
    <row r="1612">
      <c r="A1612" s="74" t="n">
        <v>100995</v>
      </c>
      <c r="B1612" t="inlineStr">
        <is>
          <t>BAZAN, FERNANDO ARIEL</t>
        </is>
      </c>
    </row>
    <row r="1613">
      <c r="A1613" s="74" t="n">
        <v>700037</v>
      </c>
      <c r="B1613" t="inlineStr">
        <is>
          <t>MOLAS TURO, LIDA ISABEL</t>
        </is>
      </c>
    </row>
    <row r="1614">
      <c r="A1614" s="73" t="inlineStr">
        <is>
          <t> </t>
        </is>
      </c>
      <c r="B1614" t="inlineStr">
        <is>
          <t>URENDA, JULIO CESAR</t>
        </is>
      </c>
    </row>
    <row r="1615">
      <c r="A1615" s="73" t="inlineStr">
        <is>
          <t> </t>
        </is>
      </c>
      <c r="B1615" t="inlineStr">
        <is>
          <t>MALDONADO, GARCIA CARLOS JULIO</t>
        </is>
      </c>
    </row>
    <row r="1616">
      <c r="A1616" s="74" t="n">
        <v>101006</v>
      </c>
      <c r="B1616" t="inlineStr">
        <is>
          <t>AGUIRRE, JUAN MATIAS</t>
        </is>
      </c>
    </row>
    <row r="1617">
      <c r="A1617" s="74" t="n">
        <v>101000</v>
      </c>
      <c r="B1617" t="inlineStr">
        <is>
          <t>LOPEZ FELICE MARIA BELEN</t>
        </is>
      </c>
    </row>
    <row r="1618">
      <c r="A1618" s="73" t="inlineStr">
        <is>
          <t>101209-3</t>
        </is>
      </c>
      <c r="B1618" t="inlineStr">
        <is>
          <t>ZONA HELADA S.R.L.</t>
        </is>
      </c>
    </row>
    <row r="1619">
      <c r="A1619" s="74" t="n">
        <v>700038</v>
      </c>
      <c r="B1619" t="inlineStr">
        <is>
          <t>FRANCO GODOY, EMANUEL ALBERTO</t>
        </is>
      </c>
    </row>
    <row r="1620">
      <c r="A1620" s="74" t="n">
        <v>100998</v>
      </c>
      <c r="B1620" t="inlineStr">
        <is>
          <t>FARFAN, ANDRES MARCELO</t>
        </is>
      </c>
    </row>
    <row r="1621">
      <c r="A1621" s="73" t="inlineStr">
        <is>
          <t>100322-1</t>
        </is>
      </c>
      <c r="B1621" t="inlineStr">
        <is>
          <t>DIHARTCE, JIMENA PAOLA</t>
        </is>
      </c>
    </row>
    <row r="1622">
      <c r="A1622" s="74" t="n">
        <v>101001</v>
      </c>
      <c r="B1622" t="inlineStr">
        <is>
          <t>DE VOLDER NESTOR HUGO</t>
        </is>
      </c>
    </row>
    <row r="1623">
      <c r="A1623" s="74" t="n">
        <v>101007</v>
      </c>
      <c r="B1623" t="inlineStr">
        <is>
          <t>VELIZ, MARIA VANESA</t>
        </is>
      </c>
    </row>
    <row r="1624">
      <c r="A1624" s="74" t="n">
        <v>101012</v>
      </c>
      <c r="B1624" t="inlineStr">
        <is>
          <t>EL 22 HELADOS S.A.S</t>
        </is>
      </c>
    </row>
    <row r="1625">
      <c r="A1625" s="73" t="inlineStr">
        <is>
          <t>101312-2</t>
        </is>
      </c>
      <c r="B1625" t="inlineStr">
        <is>
          <t>FRIO CERRILLOS S.R.L.</t>
        </is>
      </c>
    </row>
    <row r="1626">
      <c r="A1626" s="74" t="n">
        <v>101011</v>
      </c>
      <c r="B1626" t="inlineStr">
        <is>
          <t>GOMEZ, CLAUDIA SUSANA</t>
        </is>
      </c>
    </row>
    <row r="1627">
      <c r="A1627" s="73" t="inlineStr">
        <is>
          <t>100724-1</t>
        </is>
      </c>
      <c r="B1627" t="inlineStr">
        <is>
          <t>DAHER LEONARDO JORGE Y DAHER P</t>
        </is>
      </c>
    </row>
    <row r="1628">
      <c r="A1628" s="73" t="inlineStr">
        <is>
          <t> </t>
        </is>
      </c>
      <c r="B1628" t="inlineStr">
        <is>
          <t> </t>
        </is>
      </c>
    </row>
    <row r="1629">
      <c r="A1629" s="73" t="inlineStr">
        <is>
          <t> </t>
        </is>
      </c>
      <c r="B1629" t="inlineStr">
        <is>
          <t> </t>
        </is>
      </c>
    </row>
    <row r="1630">
      <c r="A1630" s="73" t="inlineStr">
        <is>
          <t>100861-3</t>
        </is>
      </c>
      <c r="B1630" t="inlineStr">
        <is>
          <t>HERNANDO MAURICIO RUBEN</t>
        </is>
      </c>
    </row>
    <row r="1631">
      <c r="A1631" s="73" t="inlineStr">
        <is>
          <t>100719-1</t>
        </is>
      </c>
      <c r="B1631" t="inlineStr">
        <is>
          <t>POQUETI S.R.L.</t>
        </is>
      </c>
    </row>
    <row r="1632">
      <c r="A1632" s="73" t="inlineStr">
        <is>
          <t>100999-1</t>
        </is>
      </c>
      <c r="B1632" t="inlineStr">
        <is>
          <t>RUIZ, MARIA LINA</t>
        </is>
      </c>
    </row>
    <row r="1633">
      <c r="A1633" s="73" t="inlineStr">
        <is>
          <t>100106-1</t>
        </is>
      </c>
      <c r="B1633" t="inlineStr">
        <is>
          <t>CORONEL, VICTOR MANUEL</t>
        </is>
      </c>
    </row>
    <row r="1634">
      <c r="A1634" s="73" t="inlineStr">
        <is>
          <t>100160-1</t>
        </is>
      </c>
      <c r="B1634" t="inlineStr">
        <is>
          <t>ABATE, DIEGO LUIS</t>
        </is>
      </c>
    </row>
    <row r="1635">
      <c r="A1635" s="73" t="inlineStr">
        <is>
          <t>101113-1</t>
        </is>
      </c>
      <c r="B1635" t="inlineStr">
        <is>
          <t>TITITI CREMAS HELADAS S.A.</t>
        </is>
      </c>
    </row>
    <row r="1636">
      <c r="A1636" s="74" t="n">
        <v>700039</v>
      </c>
      <c r="B1636" t="inlineStr">
        <is>
          <t>COLARTE JARA, HUMBERTO MARTIN</t>
        </is>
      </c>
    </row>
    <row r="1637">
      <c r="A1637" s="74" t="n">
        <v>101308</v>
      </c>
      <c r="B1637" t="inlineStr">
        <is>
          <t>JORAJURIA OSCAR CEFERINO</t>
        </is>
      </c>
    </row>
    <row r="1638">
      <c r="A1638" s="74" t="n">
        <v>600089</v>
      </c>
      <c r="B1638" t="inlineStr">
        <is>
          <t>INVERSIONES FERD SPA</t>
        </is>
      </c>
    </row>
    <row r="1639">
      <c r="A1639" s="74" t="n">
        <v>101015</v>
      </c>
      <c r="B1639" t="inlineStr">
        <is>
          <t>CREMAS COOL S.R.L</t>
        </is>
      </c>
    </row>
    <row r="1640">
      <c r="A1640" s="74" t="n">
        <v>101017</v>
      </c>
      <c r="B1640" t="inlineStr">
        <is>
          <t>CABRERA, EDGAR RAMON</t>
        </is>
      </c>
    </row>
    <row r="1641">
      <c r="A1641" s="73" t="inlineStr">
        <is>
          <t>100521-1</t>
        </is>
      </c>
      <c r="B1641" t="inlineStr">
        <is>
          <t>DURAN, CLAUDIA ISABEL</t>
        </is>
      </c>
    </row>
    <row r="1642">
      <c r="A1642" s="73" t="inlineStr">
        <is>
          <t>100401-1</t>
        </is>
      </c>
      <c r="B1642" t="inlineStr">
        <is>
          <t>LOPEZ, LILIANA MONICA</t>
        </is>
      </c>
    </row>
    <row r="1643">
      <c r="A1643" s="73" t="inlineStr">
        <is>
          <t>100565-1</t>
        </is>
      </c>
      <c r="B1643" t="inlineStr">
        <is>
          <t>ACUÑA, FATIMA VIVIANA</t>
        </is>
      </c>
    </row>
    <row r="1644">
      <c r="A1644" s="73" t="inlineStr">
        <is>
          <t>100256-1</t>
        </is>
      </c>
      <c r="B1644" t="inlineStr">
        <is>
          <t>MARTHI, JOSE MARIA</t>
        </is>
      </c>
    </row>
    <row r="1645">
      <c r="A1645" s="74" t="n">
        <v>101016</v>
      </c>
      <c r="B1645" t="inlineStr">
        <is>
          <t>NIETO, YAMILA AYELEN</t>
        </is>
      </c>
    </row>
    <row r="1646">
      <c r="A1646" s="74" t="n">
        <v>101018</v>
      </c>
      <c r="B1646" t="inlineStr">
        <is>
          <t>GOMEZ, ROMINA NATALIA</t>
        </is>
      </c>
    </row>
    <row r="1647">
      <c r="A1647" s="73" t="inlineStr">
        <is>
          <t>100126-1</t>
        </is>
      </c>
      <c r="B1647" t="inlineStr">
        <is>
          <t>ROMERO OSCAR ALEJANDRO</t>
        </is>
      </c>
    </row>
    <row r="1648">
      <c r="A1648" s="73" t="inlineStr">
        <is>
          <t>100298-1</t>
        </is>
      </c>
      <c r="B1648" t="inlineStr">
        <is>
          <t>MAZZEO MARCELO A</t>
        </is>
      </c>
    </row>
    <row r="1649">
      <c r="A1649" s="73" t="inlineStr">
        <is>
          <t>100286-1</t>
        </is>
      </c>
      <c r="B1649" t="inlineStr">
        <is>
          <t>GONZALEZ, MARTIN DANIEL</t>
        </is>
      </c>
    </row>
    <row r="1650">
      <c r="A1650" s="73" t="inlineStr">
        <is>
          <t>100526-1</t>
        </is>
      </c>
      <c r="B1650" t="inlineStr">
        <is>
          <t>CARMONA, VERONICA GRACIELA</t>
        </is>
      </c>
    </row>
    <row r="1651">
      <c r="A1651" s="73" t="inlineStr">
        <is>
          <t>100335-1</t>
        </is>
      </c>
      <c r="B1651" t="inlineStr">
        <is>
          <t>GUZMAN MAKSUD, FLAVIA DORIS</t>
        </is>
      </c>
    </row>
    <row r="1652">
      <c r="A1652" s="74" t="n">
        <v>101029</v>
      </c>
      <c r="B1652" t="inlineStr">
        <is>
          <t>SOSA, SERGIO JAVIER EMILIANO</t>
        </is>
      </c>
    </row>
    <row r="1653">
      <c r="A1653" s="74" t="n">
        <v>101026</v>
      </c>
      <c r="B1653" t="inlineStr">
        <is>
          <t>TRIPICHIO, JUAN MANUEL</t>
        </is>
      </c>
    </row>
    <row r="1654">
      <c r="A1654" s="74" t="n">
        <v>101028</v>
      </c>
      <c r="B1654" t="inlineStr">
        <is>
          <t>ZALAZAR, NICOLAS OMAR</t>
        </is>
      </c>
    </row>
    <row r="1655">
      <c r="A1655" s="74" t="n">
        <v>101027</v>
      </c>
      <c r="B1655" t="inlineStr">
        <is>
          <t>KRUSELNISKI, VERONICA</t>
        </is>
      </c>
    </row>
    <row r="1656">
      <c r="A1656" s="73" t="inlineStr">
        <is>
          <t>100179-3</t>
        </is>
      </c>
      <c r="B1656" t="inlineStr">
        <is>
          <t>CARRARA, MARCELO ANGEL</t>
        </is>
      </c>
    </row>
    <row r="1657">
      <c r="A1657" s="73" t="inlineStr">
        <is>
          <t>100736-1</t>
        </is>
      </c>
      <c r="B1657" t="inlineStr">
        <is>
          <t>VIK-LO S.A.</t>
        </is>
      </c>
    </row>
    <row r="1658">
      <c r="A1658" s="74" t="n">
        <v>101032</v>
      </c>
      <c r="B1658" t="inlineStr">
        <is>
          <t>DEVIA, JUAN DOMINGO</t>
        </is>
      </c>
    </row>
    <row r="1659">
      <c r="A1659" s="73" t="inlineStr">
        <is>
          <t>100235-1</t>
        </is>
      </c>
      <c r="B1659" t="inlineStr">
        <is>
          <t>PENSADO, JUAN MANUEL</t>
        </is>
      </c>
    </row>
    <row r="1660">
      <c r="A1660" s="74" t="n">
        <v>101019</v>
      </c>
      <c r="B1660" t="inlineStr">
        <is>
          <t>VIDELA, MATIAS ALEJANDRO</t>
        </is>
      </c>
    </row>
    <row r="1661">
      <c r="A1661" s="74" t="n">
        <v>101033</v>
      </c>
      <c r="B1661" t="inlineStr">
        <is>
          <t>DESANTO, ALEJANDRA LIDIA</t>
        </is>
      </c>
    </row>
    <row r="1662">
      <c r="A1662" s="73" t="inlineStr">
        <is>
          <t>100754-1</t>
        </is>
      </c>
      <c r="B1662" t="inlineStr">
        <is>
          <t>IGVI SAN NICOLAS S.R.L.</t>
        </is>
      </c>
    </row>
    <row r="1663">
      <c r="A1663" s="74" t="n">
        <v>600031</v>
      </c>
      <c r="B1663" t="inlineStr">
        <is>
          <t>INVERSIONES AVC SPA</t>
        </is>
      </c>
    </row>
    <row r="1664">
      <c r="A1664" s="74" t="n">
        <v>600027</v>
      </c>
      <c r="B1664" t="inlineStr">
        <is>
          <t>DANIEL ARMIJO LNJD GELATERIA S</t>
        </is>
      </c>
    </row>
    <row r="1665">
      <c r="A1665" s="73" t="inlineStr">
        <is>
          <t>100042-2</t>
        </is>
      </c>
      <c r="B1665" t="inlineStr">
        <is>
          <t>BUSTELO, SANDRO ARIEL</t>
        </is>
      </c>
    </row>
    <row r="1666">
      <c r="A1666" s="74" t="n">
        <v>101035</v>
      </c>
      <c r="B1666" t="inlineStr">
        <is>
          <t>RGL GERELI S.A.</t>
        </is>
      </c>
    </row>
    <row r="1667">
      <c r="A1667" s="73" t="inlineStr">
        <is>
          <t>100209-1</t>
        </is>
      </c>
      <c r="B1667" t="inlineStr">
        <is>
          <t>TALARICO, ANGEL ORLANDO</t>
        </is>
      </c>
    </row>
    <row r="1668">
      <c r="A1668" s="74" t="n">
        <v>101039</v>
      </c>
      <c r="B1668" t="inlineStr">
        <is>
          <t>RAMA, LUCIANO ENRIQUE</t>
        </is>
      </c>
    </row>
    <row r="1669">
      <c r="A1669" s="73" t="inlineStr">
        <is>
          <t>100178-1</t>
        </is>
      </c>
      <c r="B1669" t="inlineStr">
        <is>
          <t>LEBRON, NICOLAS DARIO</t>
        </is>
      </c>
    </row>
    <row r="1670">
      <c r="A1670" s="74" t="n">
        <v>101041</v>
      </c>
      <c r="B1670" t="inlineStr">
        <is>
          <t>FLORES FRANCISCO EMANUEL</t>
        </is>
      </c>
    </row>
    <row r="1671">
      <c r="A1671" s="73" t="inlineStr">
        <is>
          <t>100363-2</t>
        </is>
      </c>
      <c r="B1671" t="inlineStr">
        <is>
          <t>SOLIS, BARBARA AYELEN</t>
        </is>
      </c>
    </row>
    <row r="1672">
      <c r="A1672" s="73" t="inlineStr">
        <is>
          <t>100429-3</t>
        </is>
      </c>
      <c r="B1672" t="inlineStr">
        <is>
          <t>OYHENART, MARIA VIRGINIA</t>
        </is>
      </c>
    </row>
    <row r="1673">
      <c r="A1673" s="74" t="n">
        <v>101042</v>
      </c>
      <c r="B1673" t="inlineStr">
        <is>
          <t>LESCANO CASSULO, ENZO ROMAN</t>
        </is>
      </c>
    </row>
    <row r="1674">
      <c r="A1674" s="74" t="n">
        <v>101043</v>
      </c>
      <c r="B1674" t="inlineStr">
        <is>
          <t>PRIMOS SERFE SRL</t>
        </is>
      </c>
    </row>
    <row r="1675">
      <c r="A1675" s="73" t="inlineStr">
        <is>
          <t> </t>
        </is>
      </c>
      <c r="B1675" t="inlineStr">
        <is>
          <t> </t>
        </is>
      </c>
    </row>
    <row r="1676">
      <c r="A1676" s="74" t="n">
        <v>700040</v>
      </c>
      <c r="B1676" t="inlineStr">
        <is>
          <t>NAVARRO PORTILLO, RICARDO</t>
        </is>
      </c>
    </row>
    <row r="1677">
      <c r="A1677" s="74" t="n">
        <v>700041</v>
      </c>
      <c r="B1677" t="inlineStr">
        <is>
          <t>GIMENEZ DAMI, GUILLERMO</t>
        </is>
      </c>
    </row>
    <row r="1678">
      <c r="A1678" s="74" t="n">
        <v>700042</v>
      </c>
      <c r="B1678" t="inlineStr">
        <is>
          <t>CARANHATO, LUCAS ALEXANDRE</t>
        </is>
      </c>
    </row>
    <row r="1679">
      <c r="A1679" s="73" t="inlineStr">
        <is>
          <t> </t>
        </is>
      </c>
      <c r="B1679" t="inlineStr">
        <is>
          <t> </t>
        </is>
      </c>
    </row>
    <row r="1680">
      <c r="A1680" s="74" t="n">
        <v>600090</v>
      </c>
      <c r="B1680" t="inlineStr">
        <is>
          <t>ROSA DEL CARMEN ROJAS TUDELA</t>
        </is>
      </c>
    </row>
    <row r="1681">
      <c r="A1681" s="74" t="n">
        <v>101049</v>
      </c>
      <c r="B1681" t="inlineStr">
        <is>
          <t>ANEZ, JULIO RICARDO</t>
        </is>
      </c>
    </row>
    <row r="1682">
      <c r="A1682" s="73" t="inlineStr">
        <is>
          <t>100493-2</t>
        </is>
      </c>
      <c r="B1682" t="inlineStr">
        <is>
          <t>ALIMENTI, MARIA FLORENCIA</t>
        </is>
      </c>
    </row>
    <row r="1683">
      <c r="A1683" s="74" t="n">
        <v>101146</v>
      </c>
      <c r="B1683" t="inlineStr">
        <is>
          <t>SALERNO FRANCO</t>
        </is>
      </c>
    </row>
    <row r="1684">
      <c r="A1684" s="73" t="inlineStr">
        <is>
          <t>100133-1</t>
        </is>
      </c>
      <c r="B1684" t="inlineStr">
        <is>
          <t>STORNELLI, JAVIER FERNANDO</t>
        </is>
      </c>
    </row>
    <row r="1685">
      <c r="A1685" s="73" t="inlineStr">
        <is>
          <t>100489-1</t>
        </is>
      </c>
      <c r="B1685" t="inlineStr">
        <is>
          <t>RODRIGUEZ, LORENA MARIANA</t>
        </is>
      </c>
    </row>
    <row r="1686">
      <c r="A1686" s="73" t="inlineStr">
        <is>
          <t>100057-1</t>
        </is>
      </c>
      <c r="B1686" t="inlineStr">
        <is>
          <t>PEREYRA, MARCELO ANTONIO</t>
        </is>
      </c>
    </row>
    <row r="1687">
      <c r="A1687" s="73" t="inlineStr">
        <is>
          <t>100492-2</t>
        </is>
      </c>
      <c r="B1687" t="inlineStr">
        <is>
          <t>MESCALCHINI JULIETA CECILIA</t>
        </is>
      </c>
    </row>
    <row r="1688">
      <c r="A1688" s="74" t="n">
        <v>101048</v>
      </c>
      <c r="B1688" t="inlineStr">
        <is>
          <t>EMPRENDIDO S.R.L.</t>
        </is>
      </c>
    </row>
    <row r="1689">
      <c r="A1689" s="73" t="inlineStr">
        <is>
          <t>100866-2</t>
        </is>
      </c>
      <c r="B1689" t="inlineStr">
        <is>
          <t>VALDEZ, MARIA SILVANA</t>
        </is>
      </c>
    </row>
    <row r="1690">
      <c r="A1690" s="73" t="inlineStr">
        <is>
          <t>100644-3</t>
        </is>
      </c>
      <c r="B1690" t="inlineStr">
        <is>
          <t>HELASUR S.R.L.</t>
        </is>
      </c>
    </row>
    <row r="1691">
      <c r="A1691" s="73" t="inlineStr">
        <is>
          <t>100353-1</t>
        </is>
      </c>
      <c r="B1691" t="inlineStr">
        <is>
          <t>ACUÑA CARIC, MARIA NOEL</t>
        </is>
      </c>
    </row>
    <row r="1692">
      <c r="A1692" s="73" t="inlineStr">
        <is>
          <t>100386-1</t>
        </is>
      </c>
      <c r="B1692" t="inlineStr">
        <is>
          <t>JUAREZ, ALCIRA</t>
        </is>
      </c>
    </row>
    <row r="1693">
      <c r="A1693" s="73" t="inlineStr">
        <is>
          <t>100749-1</t>
        </is>
      </c>
      <c r="B1693" t="inlineStr">
        <is>
          <t>COLOMBRES SUR 590 S.A.</t>
        </is>
      </c>
    </row>
    <row r="1694">
      <c r="A1694" s="74" t="n">
        <v>600025</v>
      </c>
      <c r="B1694" t="inlineStr">
        <is>
          <t>COM MI MARIA SPA</t>
        </is>
      </c>
    </row>
    <row r="1695">
      <c r="A1695" s="73" t="inlineStr">
        <is>
          <t>100226-2</t>
        </is>
      </c>
      <c r="B1695" t="inlineStr">
        <is>
          <t>FERNANDEZ, DAMIAN ALBERTO</t>
        </is>
      </c>
    </row>
    <row r="1696">
      <c r="A1696" s="73" t="inlineStr">
        <is>
          <t>100236-1</t>
        </is>
      </c>
      <c r="B1696" t="inlineStr">
        <is>
          <t>VALDEON, FACUNDO OMAR</t>
        </is>
      </c>
    </row>
    <row r="1697">
      <c r="A1697" s="74" t="n">
        <v>101061</v>
      </c>
      <c r="B1697" t="inlineStr">
        <is>
          <t>BARGO BORDON, NORMA NATALIA</t>
        </is>
      </c>
    </row>
    <row r="1698">
      <c r="A1698" s="73" t="inlineStr">
        <is>
          <t>100895-3</t>
        </is>
      </c>
      <c r="B1698" t="inlineStr">
        <is>
          <t>BORBA ARGENTINA S.R.L.</t>
        </is>
      </c>
    </row>
    <row r="1699">
      <c r="A1699" s="73" t="inlineStr">
        <is>
          <t>100895-4</t>
        </is>
      </c>
      <c r="B1699" t="inlineStr">
        <is>
          <t>BORBA ARGENTINA S.R.L.</t>
        </is>
      </c>
    </row>
    <row r="1700">
      <c r="A1700" s="73" t="inlineStr">
        <is>
          <t> </t>
        </is>
      </c>
      <c r="B1700" t="inlineStr">
        <is>
          <t> </t>
        </is>
      </c>
    </row>
    <row r="1701">
      <c r="A1701" s="74" t="n">
        <v>700043</v>
      </c>
      <c r="B1701" t="inlineStr">
        <is>
          <t>BALBUENA VAZQUEZ, AURA SILVANA</t>
        </is>
      </c>
    </row>
    <row r="1702">
      <c r="A1702" s="73" t="inlineStr">
        <is>
          <t>100299-2</t>
        </is>
      </c>
      <c r="B1702" t="inlineStr">
        <is>
          <t>MARIN, GLADYS DEL CARMEN</t>
        </is>
      </c>
    </row>
    <row r="1703">
      <c r="A1703" s="73" t="inlineStr">
        <is>
          <t>100651-12</t>
        </is>
      </c>
      <c r="B1703" t="inlineStr">
        <is>
          <t>VASIL S.R.L.</t>
        </is>
      </c>
    </row>
    <row r="1704">
      <c r="A1704" s="73" t="inlineStr">
        <is>
          <t>100239-4</t>
        </is>
      </c>
      <c r="B1704" t="inlineStr">
        <is>
          <t>GALVAN LUIS SEBASTIAN</t>
        </is>
      </c>
    </row>
    <row r="1705">
      <c r="A1705" s="73" t="inlineStr">
        <is>
          <t>100346-1</t>
        </is>
      </c>
      <c r="B1705" t="inlineStr">
        <is>
          <t>SANCHEZ, GERARDO MARIO</t>
        </is>
      </c>
    </row>
    <row r="1706">
      <c r="A1706" s="73" t="inlineStr">
        <is>
          <t>100280-3</t>
        </is>
      </c>
      <c r="B1706" t="inlineStr">
        <is>
          <t>GONZALEZ EDUARDO MAXIMILIANO</t>
        </is>
      </c>
    </row>
    <row r="1707">
      <c r="A1707" s="73" t="inlineStr">
        <is>
          <t>100280-4</t>
        </is>
      </c>
      <c r="B1707" t="inlineStr">
        <is>
          <t>GONZALEZ EDUARDO MAXIMILIANO</t>
        </is>
      </c>
    </row>
    <row r="1708">
      <c r="A1708" s="73" t="inlineStr">
        <is>
          <t> </t>
        </is>
      </c>
      <c r="B1708" t="inlineStr">
        <is>
          <t> </t>
        </is>
      </c>
    </row>
    <row r="1709">
      <c r="A1709" s="74" t="n">
        <v>700045</v>
      </c>
      <c r="B1709" t="inlineStr">
        <is>
          <t>KOSTIAK, CARLOS ALEJANDRO</t>
        </is>
      </c>
    </row>
    <row r="1710">
      <c r="A1710" s="73" t="inlineStr">
        <is>
          <t>100378-1</t>
        </is>
      </c>
      <c r="B1710" t="inlineStr">
        <is>
          <t>NICOLAS, HILDA ESTHER</t>
        </is>
      </c>
    </row>
    <row r="1711">
      <c r="A1711" s="73" t="inlineStr">
        <is>
          <t>100952-1</t>
        </is>
      </c>
      <c r="B1711" t="inlineStr">
        <is>
          <t>BUFFA, DANA DELENE</t>
        </is>
      </c>
    </row>
    <row r="1712">
      <c r="A1712" s="73" t="inlineStr">
        <is>
          <t>100266-1</t>
        </is>
      </c>
      <c r="B1712" t="inlineStr">
        <is>
          <t>VISCUSI ANDRES SEBASTIAN</t>
        </is>
      </c>
    </row>
    <row r="1713">
      <c r="A1713" s="73" t="inlineStr">
        <is>
          <t>100688-7</t>
        </is>
      </c>
      <c r="B1713" t="inlineStr">
        <is>
          <t>DITTO S.R.L.</t>
        </is>
      </c>
    </row>
    <row r="1714">
      <c r="A1714" s="74" t="n">
        <v>101063</v>
      </c>
      <c r="B1714" t="inlineStr">
        <is>
          <t>PICCINETTI, ARIEL ALBERTO</t>
        </is>
      </c>
    </row>
    <row r="1715">
      <c r="A1715" s="74" t="n">
        <v>101429</v>
      </c>
      <c r="B1715" t="inlineStr">
        <is>
          <t>ROSALES ARMANDO FACUNDO</t>
        </is>
      </c>
    </row>
    <row r="1716">
      <c r="A1716" s="73" t="inlineStr">
        <is>
          <t>100211-1</t>
        </is>
      </c>
      <c r="B1716" t="inlineStr">
        <is>
          <t>ZOTTOLA PAREJA, SERGIO FERNAND</t>
        </is>
      </c>
    </row>
    <row r="1717">
      <c r="A1717" s="74" t="n">
        <v>101066</v>
      </c>
      <c r="B1717" t="inlineStr">
        <is>
          <t>REFAY, LORENA ALEJANDRA</t>
        </is>
      </c>
    </row>
    <row r="1718">
      <c r="A1718" s="74" t="n">
        <v>101065</v>
      </c>
      <c r="B1718" t="inlineStr">
        <is>
          <t>DEGLI, NATALIA MICAELA</t>
        </is>
      </c>
    </row>
    <row r="1719">
      <c r="A1719" s="73" t="inlineStr">
        <is>
          <t>100619-1</t>
        </is>
      </c>
      <c r="B1719" t="inlineStr">
        <is>
          <t>VIL-ÑEZ S.A</t>
        </is>
      </c>
    </row>
    <row r="1720">
      <c r="A1720" s="73" t="inlineStr">
        <is>
          <t>100578-1</t>
        </is>
      </c>
      <c r="B1720" t="inlineStr">
        <is>
          <t>IRIARTE, JANET ALEXANDRA</t>
        </is>
      </c>
    </row>
    <row r="1721">
      <c r="A1721" s="74" t="n">
        <v>101068</v>
      </c>
      <c r="B1721" t="inlineStr">
        <is>
          <t>GIANELLI, GABRIEL OMAR</t>
        </is>
      </c>
    </row>
    <row r="1722">
      <c r="A1722" s="74" t="n">
        <v>101069</v>
      </c>
      <c r="B1722" t="inlineStr">
        <is>
          <t>FERRARI, ANA LAURA</t>
        </is>
      </c>
    </row>
    <row r="1723">
      <c r="A1723" s="74" t="n">
        <v>101070</v>
      </c>
      <c r="B1723" t="inlineStr">
        <is>
          <t>CARRANZA LOPEZ, FLORENCIA MELI</t>
        </is>
      </c>
    </row>
    <row r="1724">
      <c r="A1724" s="74" t="n">
        <v>101071</v>
      </c>
      <c r="B1724" t="inlineStr">
        <is>
          <t>DE MARZO, CARLOS DAMIAN</t>
        </is>
      </c>
    </row>
    <row r="1725">
      <c r="A1725" s="74" t="n">
        <v>101073</v>
      </c>
      <c r="B1725" t="inlineStr">
        <is>
          <t>ANSELMI, JORGE ALBERTO</t>
        </is>
      </c>
    </row>
    <row r="1726">
      <c r="A1726" s="74" t="n">
        <v>101074</v>
      </c>
      <c r="B1726" t="inlineStr">
        <is>
          <t>FERRI, GABRIELA ANALIA</t>
        </is>
      </c>
    </row>
    <row r="1727">
      <c r="A1727" s="74" t="n">
        <v>101075</v>
      </c>
      <c r="B1727" t="inlineStr">
        <is>
          <t>GONZALEZ, MARTIN OSCAR</t>
        </is>
      </c>
    </row>
    <row r="1728">
      <c r="A1728" s="74" t="n">
        <v>101076</v>
      </c>
      <c r="B1728" t="inlineStr">
        <is>
          <t>WABER S.R.L.</t>
        </is>
      </c>
    </row>
    <row r="1729">
      <c r="A1729" s="74" t="n">
        <v>101085</v>
      </c>
      <c r="B1729" t="inlineStr">
        <is>
          <t>AVAI S.R.L</t>
        </is>
      </c>
    </row>
    <row r="1730">
      <c r="A1730" s="73" t="inlineStr">
        <is>
          <t>100162-1</t>
        </is>
      </c>
      <c r="B1730" t="inlineStr">
        <is>
          <t>GARILLO, LEANDRO FEDERICO</t>
        </is>
      </c>
    </row>
    <row r="1731">
      <c r="A1731" s="73" t="inlineStr">
        <is>
          <t>100188-1</t>
        </is>
      </c>
      <c r="B1731" t="inlineStr">
        <is>
          <t>TABUENCA, CARLOS ENRIQUE</t>
        </is>
      </c>
    </row>
    <row r="1732">
      <c r="A1732" s="73" t="inlineStr">
        <is>
          <t>100418-2</t>
        </is>
      </c>
      <c r="B1732" t="inlineStr">
        <is>
          <t>MARIN, MARIA CECILIA</t>
        </is>
      </c>
    </row>
    <row r="1733">
      <c r="A1733" s="73" t="inlineStr">
        <is>
          <t>101113-2</t>
        </is>
      </c>
      <c r="B1733" t="inlineStr">
        <is>
          <t>TITITI CREMAS HELADAS S.A.</t>
        </is>
      </c>
    </row>
    <row r="1734">
      <c r="A1734" s="73" t="inlineStr">
        <is>
          <t>100181-2</t>
        </is>
      </c>
      <c r="B1734" t="inlineStr">
        <is>
          <t>NAVARRO, ENRIQUE OSVALDO</t>
        </is>
      </c>
    </row>
    <row r="1735">
      <c r="A1735" s="73" t="inlineStr">
        <is>
          <t> </t>
        </is>
      </c>
      <c r="B1735" t="inlineStr">
        <is>
          <t> </t>
        </is>
      </c>
    </row>
    <row r="1736">
      <c r="A1736" s="74" t="n">
        <v>500013</v>
      </c>
      <c r="B1736" t="inlineStr">
        <is>
          <t>LUIS ALBERTO MARTÍNEZ VÁZQUEZ</t>
        </is>
      </c>
    </row>
    <row r="1737">
      <c r="A1737" s="73" t="inlineStr">
        <is>
          <t> </t>
        </is>
      </c>
      <c r="B1737" t="inlineStr">
        <is>
          <t> </t>
        </is>
      </c>
    </row>
    <row r="1738">
      <c r="A1738" s="74" t="n">
        <v>101082</v>
      </c>
      <c r="B1738" t="inlineStr">
        <is>
          <t>CEROGRADO S.A.S.</t>
        </is>
      </c>
    </row>
    <row r="1739">
      <c r="A1739" s="74" t="n">
        <v>700046</v>
      </c>
      <c r="B1739" t="inlineStr">
        <is>
          <t>VERA GOMEZ, SUSANA RAQUEL</t>
        </is>
      </c>
    </row>
    <row r="1740">
      <c r="A1740" s="73" t="inlineStr">
        <is>
          <t>100862-2</t>
        </is>
      </c>
      <c r="B1740" t="inlineStr">
        <is>
          <t>HERNANDO GERMAN EMILIANO</t>
        </is>
      </c>
    </row>
    <row r="1741">
      <c r="A1741" s="74" t="n">
        <v>101093</v>
      </c>
      <c r="B1741" t="inlineStr">
        <is>
          <t>TORRES, RAMON ROBERTO</t>
        </is>
      </c>
    </row>
    <row r="1742">
      <c r="A1742" s="73" t="inlineStr">
        <is>
          <t>100507-1</t>
        </is>
      </c>
      <c r="B1742" t="inlineStr">
        <is>
          <t>RODRIGUEZ, VERONICA AMNERIS</t>
        </is>
      </c>
    </row>
    <row r="1743">
      <c r="A1743" s="74" t="n">
        <v>101091</v>
      </c>
      <c r="B1743" t="inlineStr">
        <is>
          <t>MERIGGI, TREJO MELISA</t>
        </is>
      </c>
    </row>
    <row r="1744">
      <c r="A1744" s="73" t="inlineStr">
        <is>
          <t>100797-2</t>
        </is>
      </c>
      <c r="B1744" t="inlineStr">
        <is>
          <t>QUEVEDO, NATALIA CAROLINA</t>
        </is>
      </c>
    </row>
    <row r="1745">
      <c r="A1745" s="73" t="inlineStr">
        <is>
          <t> </t>
        </is>
      </c>
      <c r="B1745" t="inlineStr">
        <is>
          <t> </t>
        </is>
      </c>
    </row>
    <row r="1746">
      <c r="A1746" s="74" t="n">
        <v>600119</v>
      </c>
      <c r="B1746" t="inlineStr">
        <is>
          <t>FLM LIMITADA</t>
        </is>
      </c>
    </row>
    <row r="1747">
      <c r="A1747" s="73" t="inlineStr">
        <is>
          <t>100225-1</t>
        </is>
      </c>
      <c r="B1747" t="inlineStr">
        <is>
          <t>BOGGIATTO LEANDRO</t>
        </is>
      </c>
    </row>
    <row r="1748">
      <c r="A1748" s="73" t="inlineStr">
        <is>
          <t>100710-2</t>
        </is>
      </c>
      <c r="B1748" t="inlineStr">
        <is>
          <t>SABORES DULCES S.R.L.</t>
        </is>
      </c>
    </row>
    <row r="1749">
      <c r="A1749" s="73" t="inlineStr">
        <is>
          <t>100298-2</t>
        </is>
      </c>
      <c r="B1749" t="inlineStr">
        <is>
          <t>MAZZEO MARCELO A</t>
        </is>
      </c>
    </row>
    <row r="1750">
      <c r="A1750" s="74" t="n">
        <v>600128</v>
      </c>
      <c r="B1750" t="inlineStr">
        <is>
          <t>COMERCIAL ALTO PORTALES K.H.G.</t>
        </is>
      </c>
    </row>
    <row r="1751">
      <c r="A1751" s="73" t="inlineStr">
        <is>
          <t>100551-3</t>
        </is>
      </c>
      <c r="B1751" t="inlineStr">
        <is>
          <t>GONZALEZ MARIANELA</t>
        </is>
      </c>
    </row>
    <row r="1752">
      <c r="A1752" s="74" t="n">
        <v>700047</v>
      </c>
      <c r="B1752" t="inlineStr">
        <is>
          <t>GELA SERAPION VEGA</t>
        </is>
      </c>
    </row>
    <row r="1753">
      <c r="A1753" s="74" t="n">
        <v>700086</v>
      </c>
      <c r="B1753" t="inlineStr">
        <is>
          <t>LARREA MARIO AGUSTIN</t>
        </is>
      </c>
    </row>
    <row r="1754">
      <c r="A1754" s="74" t="n">
        <v>500050</v>
      </c>
      <c r="B1754" t="inlineStr">
        <is>
          <t>MAGONA SRL</t>
        </is>
      </c>
    </row>
    <row r="1755">
      <c r="A1755" s="74" t="n">
        <v>101105</v>
      </c>
      <c r="B1755" t="inlineStr">
        <is>
          <t>LOPEZ CASABELLA MARIA MERCEDES</t>
        </is>
      </c>
    </row>
    <row r="1756">
      <c r="A1756" s="74" t="n">
        <v>700070</v>
      </c>
      <c r="B1756" t="inlineStr">
        <is>
          <t>FESSIA MARIA EUGENIA</t>
        </is>
      </c>
    </row>
    <row r="1757">
      <c r="A1757" s="74" t="n">
        <v>700050</v>
      </c>
      <c r="B1757" t="inlineStr">
        <is>
          <t>MARCELINA ARANDA DE MOLAS</t>
        </is>
      </c>
    </row>
    <row r="1758">
      <c r="A1758" s="73" t="inlineStr">
        <is>
          <t>100939-1</t>
        </is>
      </c>
      <c r="B1758" t="inlineStr">
        <is>
          <t>SALIDO, ANALIA VERONICA</t>
        </is>
      </c>
    </row>
    <row r="1759">
      <c r="A1759" s="74" t="n">
        <v>101119</v>
      </c>
      <c r="B1759" t="inlineStr">
        <is>
          <t>LEZAMA RODRIGO EZEQUIEL</t>
        </is>
      </c>
    </row>
    <row r="1760">
      <c r="A1760" s="73" t="inlineStr">
        <is>
          <t>100250-1</t>
        </is>
      </c>
      <c r="B1760" t="inlineStr">
        <is>
          <t>NAVARRO HEIN EMANUEL</t>
        </is>
      </c>
    </row>
    <row r="1761">
      <c r="A1761" s="74" t="n">
        <v>101124</v>
      </c>
      <c r="B1761" t="inlineStr">
        <is>
          <t>ECHENIQUE CLAUDIO MARTIN</t>
        </is>
      </c>
    </row>
    <row r="1762">
      <c r="A1762" s="73" t="inlineStr">
        <is>
          <t>100098-1</t>
        </is>
      </c>
      <c r="B1762" t="inlineStr">
        <is>
          <t>ORLANDAU CRISTIAN ISRAEL</t>
        </is>
      </c>
    </row>
    <row r="1763">
      <c r="A1763" s="74" t="n">
        <v>101125</v>
      </c>
      <c r="B1763" t="inlineStr">
        <is>
          <t>FUSCO SILVINA NATALIA</t>
        </is>
      </c>
    </row>
    <row r="1764">
      <c r="A1764" s="73" t="inlineStr">
        <is>
          <t>100978-1</t>
        </is>
      </c>
      <c r="B1764" t="inlineStr">
        <is>
          <t>LIBERALI CARLOS EZEQUIEL</t>
        </is>
      </c>
    </row>
    <row r="1765">
      <c r="A1765" s="74" t="n">
        <v>700051</v>
      </c>
      <c r="B1765" t="inlineStr">
        <is>
          <t>ROMERO MOLAS, GIANNINA LIZETTE</t>
        </is>
      </c>
    </row>
    <row r="1766">
      <c r="A1766" s="74" t="n">
        <v>101126</v>
      </c>
      <c r="B1766" t="inlineStr">
        <is>
          <t>MARQUEZ NICOLAS OSVALDO</t>
        </is>
      </c>
    </row>
    <row r="1767">
      <c r="A1767" s="73" t="inlineStr">
        <is>
          <t> </t>
        </is>
      </c>
      <c r="B1767" t="inlineStr">
        <is>
          <t> </t>
        </is>
      </c>
    </row>
    <row r="1768">
      <c r="A1768" s="74" t="n">
        <v>600138</v>
      </c>
      <c r="B1768" t="inlineStr">
        <is>
          <t>Com F&amp;M Orieta A Vergara Molin</t>
        </is>
      </c>
    </row>
    <row r="1769">
      <c r="A1769" s="74" t="n">
        <v>500051</v>
      </c>
      <c r="B1769" t="inlineStr">
        <is>
          <t>OVIEDO AGUIAR MARIA GIMENA</t>
        </is>
      </c>
    </row>
    <row r="1770">
      <c r="A1770" s="74" t="n">
        <v>101136</v>
      </c>
      <c r="B1770" t="inlineStr">
        <is>
          <t>ROGANI KARINA MARCELA</t>
        </is>
      </c>
    </row>
    <row r="1771">
      <c r="A1771" s="73" t="inlineStr">
        <is>
          <t>100864-1</t>
        </is>
      </c>
      <c r="B1771" t="inlineStr">
        <is>
          <t>NAYAR, ROXANA VERONICA</t>
        </is>
      </c>
    </row>
    <row r="1772">
      <c r="A1772" s="74" t="n">
        <v>700053</v>
      </c>
      <c r="B1772" t="inlineStr">
        <is>
          <t>ALICIA ELIZABETH SALINAS DE RO</t>
        </is>
      </c>
    </row>
    <row r="1773">
      <c r="A1773" s="74" t="n">
        <v>700052</v>
      </c>
      <c r="B1773" t="inlineStr">
        <is>
          <t>BIBIANA MARIA ESPINOLA</t>
        </is>
      </c>
    </row>
    <row r="1774">
      <c r="A1774" s="74" t="n">
        <v>101137</v>
      </c>
      <c r="B1774" t="inlineStr">
        <is>
          <t>HEIMBUGNER YANINA VERONICA</t>
        </is>
      </c>
    </row>
    <row r="1775">
      <c r="A1775" s="73" t="inlineStr">
        <is>
          <t>100239-5</t>
        </is>
      </c>
      <c r="B1775" t="inlineStr">
        <is>
          <t>GALVAN LUIS SEBASTIAN</t>
        </is>
      </c>
    </row>
    <row r="1776">
      <c r="A1776" s="74" t="n">
        <v>101139</v>
      </c>
      <c r="B1776" t="inlineStr">
        <is>
          <t>HAMPARSOMIAN ESTEFANIA VILMA</t>
        </is>
      </c>
    </row>
    <row r="1777">
      <c r="A1777" s="74" t="n">
        <v>101140</v>
      </c>
      <c r="B1777" t="inlineStr">
        <is>
          <t>ORTIZ FLAVIA ANABEL</t>
        </is>
      </c>
    </row>
    <row r="1778">
      <c r="A1778" s="74" t="n">
        <v>101142</v>
      </c>
      <c r="B1778" t="inlineStr">
        <is>
          <t>CASTILLO LILIANA PATRICIA</t>
        </is>
      </c>
    </row>
    <row r="1779">
      <c r="A1779" s="74" t="n">
        <v>600144</v>
      </c>
      <c r="B1779" t="inlineStr">
        <is>
          <t>ARIAS LIMITADA</t>
        </is>
      </c>
    </row>
    <row r="1780">
      <c r="A1780" s="74" t="n">
        <v>101141</v>
      </c>
      <c r="B1780" t="inlineStr">
        <is>
          <t>RODRIGUEZ JOSE ANTONIO</t>
        </is>
      </c>
    </row>
    <row r="1781">
      <c r="A1781" s="73" t="inlineStr">
        <is>
          <t> </t>
        </is>
      </c>
      <c r="B1781" t="inlineStr">
        <is>
          <t> </t>
        </is>
      </c>
    </row>
    <row r="1782">
      <c r="A1782" s="73" t="inlineStr">
        <is>
          <t>101040-1</t>
        </is>
      </c>
      <c r="B1782" t="inlineStr">
        <is>
          <t>LEAMATI GASTRONOMIA SA</t>
        </is>
      </c>
    </row>
    <row r="1783">
      <c r="A1783" s="74" t="n">
        <v>101144</v>
      </c>
      <c r="B1783" t="inlineStr">
        <is>
          <t>FOLETTI VERONICA NOEMI</t>
        </is>
      </c>
    </row>
    <row r="1784">
      <c r="A1784" s="73" t="inlineStr">
        <is>
          <t>101209-4</t>
        </is>
      </c>
      <c r="B1784" t="inlineStr">
        <is>
          <t>ZONA HELADA S.R.L.</t>
        </is>
      </c>
    </row>
    <row r="1785">
      <c r="A1785" s="73" t="inlineStr">
        <is>
          <t>100741-1</t>
        </is>
      </c>
      <c r="B1785" t="inlineStr">
        <is>
          <t>VILAMIRA S.R.L.</t>
        </is>
      </c>
    </row>
    <row r="1786">
      <c r="A1786" s="73" t="inlineStr">
        <is>
          <t>101043-1</t>
        </is>
      </c>
      <c r="B1786" t="inlineStr">
        <is>
          <t>PRIMOS SERFE SRL</t>
        </is>
      </c>
    </row>
    <row r="1787">
      <c r="A1787" s="74" t="n">
        <v>101150</v>
      </c>
      <c r="B1787" t="inlineStr">
        <is>
          <t>BOTTERO EUGENIA CAROLINA</t>
        </is>
      </c>
    </row>
    <row r="1788">
      <c r="A1788" s="74" t="n">
        <v>101147</v>
      </c>
      <c r="B1788" t="inlineStr">
        <is>
          <t>VO2MAX HELADOS S.A.S</t>
        </is>
      </c>
    </row>
    <row r="1789">
      <c r="A1789" s="74" t="n">
        <v>101156</v>
      </c>
      <c r="B1789" t="inlineStr">
        <is>
          <t>MARE BLUE S.A.</t>
        </is>
      </c>
    </row>
    <row r="1790">
      <c r="A1790" s="74" t="n">
        <v>700057</v>
      </c>
      <c r="B1790" t="inlineStr">
        <is>
          <t>DIANA PATRICIA LOPEZ DOMINGUEZ</t>
        </is>
      </c>
    </row>
    <row r="1791">
      <c r="A1791" s="73" t="inlineStr">
        <is>
          <t> </t>
        </is>
      </c>
      <c r="B1791" t="inlineStr">
        <is>
          <t> </t>
        </is>
      </c>
    </row>
    <row r="1792">
      <c r="A1792" s="74" t="n">
        <v>700056</v>
      </c>
      <c r="B1792" t="inlineStr">
        <is>
          <t>CARLOS JAVIER LOPEZ RODRIGUEZ</t>
        </is>
      </c>
    </row>
    <row r="1793">
      <c r="A1793" s="74" t="n">
        <v>700058</v>
      </c>
      <c r="B1793" t="inlineStr">
        <is>
          <t>MARIA RAFAELA GIMENEZ QUIÑONEZ</t>
        </is>
      </c>
    </row>
    <row r="1794">
      <c r="A1794" s="74" t="n">
        <v>700059</v>
      </c>
      <c r="B1794" t="inlineStr">
        <is>
          <t>ROBERT FRANCISCO DUARTE RODRIG</t>
        </is>
      </c>
    </row>
    <row r="1795">
      <c r="A1795" s="73" t="inlineStr">
        <is>
          <t>100427-2</t>
        </is>
      </c>
      <c r="B1795" t="inlineStr">
        <is>
          <t>LAFUENTE ANDREA KARINA</t>
        </is>
      </c>
    </row>
    <row r="1796">
      <c r="A1796" s="74" t="n">
        <v>600152</v>
      </c>
      <c r="B1796" t="inlineStr">
        <is>
          <t>HELADERIA Y CAF DULCE MARAVILL</t>
        </is>
      </c>
    </row>
    <row r="1797">
      <c r="A1797" s="74" t="n">
        <v>101143</v>
      </c>
      <c r="B1797" t="inlineStr">
        <is>
          <t>CASTAVILE JACQUELINE GISELLE</t>
        </is>
      </c>
    </row>
    <row r="1798">
      <c r="A1798" s="74" t="n">
        <v>101158</v>
      </c>
      <c r="B1798" t="inlineStr">
        <is>
          <t>SASTRE BETSABE</t>
        </is>
      </c>
    </row>
    <row r="1799">
      <c r="A1799" s="73" t="inlineStr">
        <is>
          <t>100902-1</t>
        </is>
      </c>
      <c r="B1799" t="inlineStr">
        <is>
          <t>RIESCO ALVARO JULIAN</t>
        </is>
      </c>
    </row>
    <row r="1800">
      <c r="A1800" s="73" t="inlineStr">
        <is>
          <t>100072-1</t>
        </is>
      </c>
      <c r="B1800" t="inlineStr">
        <is>
          <t>ESCUDERO VICTOR HUMBERTO</t>
        </is>
      </c>
    </row>
    <row r="1801">
      <c r="A1801" s="74" t="n">
        <v>101152</v>
      </c>
      <c r="B1801" t="inlineStr">
        <is>
          <t>PICEDA MARIA CRISTINA</t>
        </is>
      </c>
    </row>
    <row r="1802">
      <c r="A1802" s="73" t="inlineStr">
        <is>
          <t> </t>
        </is>
      </c>
      <c r="B1802" t="inlineStr">
        <is>
          <t> </t>
        </is>
      </c>
    </row>
    <row r="1803">
      <c r="A1803" s="73" t="inlineStr">
        <is>
          <t> </t>
        </is>
      </c>
      <c r="B1803" t="inlineStr">
        <is>
          <t> </t>
        </is>
      </c>
    </row>
    <row r="1804">
      <c r="A1804" s="73" t="inlineStr">
        <is>
          <t>100894-1</t>
        </is>
      </c>
      <c r="B1804" t="inlineStr">
        <is>
          <t>LUDUEÑA, NANCY EDITH</t>
        </is>
      </c>
    </row>
    <row r="1805">
      <c r="A1805" s="74" t="n">
        <v>101151</v>
      </c>
      <c r="B1805" t="inlineStr">
        <is>
          <t>CEGAFRAN S.R.L.</t>
        </is>
      </c>
    </row>
    <row r="1806">
      <c r="A1806" s="73" t="inlineStr">
        <is>
          <t>100038-3</t>
        </is>
      </c>
      <c r="B1806" t="inlineStr">
        <is>
          <t>LIRA HERNAN ALEJANDRO</t>
        </is>
      </c>
    </row>
    <row r="1807">
      <c r="A1807" s="74" t="n">
        <v>101433</v>
      </c>
      <c r="B1807" t="inlineStr">
        <is>
          <t>DELBON LUIS DANIEL</t>
        </is>
      </c>
    </row>
    <row r="1808">
      <c r="A1808" s="74" t="n">
        <v>101164</v>
      </c>
      <c r="B1808" t="inlineStr">
        <is>
          <t>MAURICIO HAMAK Y EMILIANO POZZ</t>
        </is>
      </c>
    </row>
    <row r="1809">
      <c r="A1809" s="73" t="inlineStr">
        <is>
          <t>100076-1</t>
        </is>
      </c>
      <c r="B1809" t="inlineStr">
        <is>
          <t>LOPEZ, SERGIO RAMON</t>
        </is>
      </c>
    </row>
    <row r="1810">
      <c r="A1810" s="74" t="n">
        <v>101154</v>
      </c>
      <c r="B1810" t="inlineStr">
        <is>
          <t>AMATO BUSTOS NICOLE SOLEDAD</t>
        </is>
      </c>
    </row>
    <row r="1811">
      <c r="A1811" s="74" t="n">
        <v>101153</v>
      </c>
      <c r="B1811" t="inlineStr">
        <is>
          <t>HELADOS CONTENTOS SRL</t>
        </is>
      </c>
    </row>
    <row r="1812">
      <c r="A1812" s="73" t="inlineStr">
        <is>
          <t> </t>
        </is>
      </c>
      <c r="B1812" t="inlineStr">
        <is>
          <t> </t>
        </is>
      </c>
    </row>
    <row r="1813">
      <c r="A1813" s="74" t="n">
        <v>101160</v>
      </c>
      <c r="B1813" t="inlineStr">
        <is>
          <t>OLIVERA MATIAS NEY</t>
        </is>
      </c>
    </row>
    <row r="1814">
      <c r="A1814" s="73" t="inlineStr">
        <is>
          <t>100681-1</t>
        </is>
      </c>
      <c r="B1814" t="inlineStr">
        <is>
          <t>GUALABAUSA S.A.</t>
        </is>
      </c>
    </row>
    <row r="1815">
      <c r="A1815" s="74" t="n">
        <v>101167</v>
      </c>
      <c r="B1815" t="inlineStr">
        <is>
          <t>OTTA JUAN MANUEL</t>
        </is>
      </c>
    </row>
    <row r="1816">
      <c r="A1816" s="74" t="n">
        <v>101168</v>
      </c>
      <c r="B1816" t="inlineStr">
        <is>
          <t>DI BAJA FERNANDO</t>
        </is>
      </c>
    </row>
    <row r="1817">
      <c r="A1817" s="74" t="n">
        <v>101169</v>
      </c>
      <c r="B1817" t="inlineStr">
        <is>
          <t>SURIANO ELISA ROSA ALEJANDRA</t>
        </is>
      </c>
    </row>
    <row r="1818">
      <c r="A1818" s="74" t="n">
        <v>101171</v>
      </c>
      <c r="B1818" t="inlineStr">
        <is>
          <t>BRUMAL HELADOS S.A.S.</t>
        </is>
      </c>
    </row>
    <row r="1819">
      <c r="A1819" s="74" t="n">
        <v>101172</v>
      </c>
      <c r="B1819" t="inlineStr">
        <is>
          <t>GUZMAN CECILIA VERONICA</t>
        </is>
      </c>
    </row>
    <row r="1820">
      <c r="A1820" s="74" t="n">
        <v>101173</v>
      </c>
      <c r="B1820" t="inlineStr">
        <is>
          <t>MUÑOZ CARLOS FERNANDO</t>
        </is>
      </c>
    </row>
    <row r="1821">
      <c r="A1821" s="73" t="inlineStr">
        <is>
          <t>100091-2</t>
        </is>
      </c>
      <c r="B1821" t="inlineStr">
        <is>
          <t>VENTRICI ALEJANDRO DANIEL</t>
        </is>
      </c>
    </row>
    <row r="1822">
      <c r="A1822" s="74" t="n">
        <v>600154</v>
      </c>
      <c r="B1822" t="inlineStr">
        <is>
          <t>CONSORCIO LATINOAMERICANO CAST</t>
        </is>
      </c>
    </row>
    <row r="1823">
      <c r="A1823" s="74" t="n">
        <v>101149</v>
      </c>
      <c r="B1823" t="inlineStr">
        <is>
          <t>FINELLO MARIA DE LOS ANGELES</t>
        </is>
      </c>
    </row>
    <row r="1824">
      <c r="A1824" s="74" t="n">
        <v>101170</v>
      </c>
      <c r="B1824" t="inlineStr">
        <is>
          <t>SUMA DEL PLATA S.R.L.</t>
        </is>
      </c>
    </row>
    <row r="1825">
      <c r="A1825" s="73" t="inlineStr">
        <is>
          <t>100589-2</t>
        </is>
      </c>
      <c r="B1825" t="inlineStr">
        <is>
          <t>PILARES SOCIEDAD DE RESPONSABI</t>
        </is>
      </c>
    </row>
    <row r="1826">
      <c r="A1826" s="73" t="inlineStr">
        <is>
          <t>100689-1</t>
        </is>
      </c>
      <c r="B1826" t="inlineStr">
        <is>
          <t>LUCIA 2013 S.R.L.</t>
        </is>
      </c>
    </row>
    <row r="1827">
      <c r="A1827" s="73" t="inlineStr">
        <is>
          <t>100589-3</t>
        </is>
      </c>
      <c r="B1827" t="inlineStr">
        <is>
          <t>PILARES SOCIEDAD DE RESPONSABI</t>
        </is>
      </c>
    </row>
    <row r="1828">
      <c r="A1828" s="74" t="n">
        <v>101222</v>
      </c>
      <c r="B1828" t="inlineStr">
        <is>
          <t>MONTIEL ALICIA ROMINA</t>
        </is>
      </c>
    </row>
    <row r="1829">
      <c r="A1829" s="73" t="inlineStr">
        <is>
          <t>100594-22</t>
        </is>
      </c>
      <c r="B1829" t="inlineStr">
        <is>
          <t>J.A.V.R.I. S.R.L.</t>
        </is>
      </c>
    </row>
    <row r="1830">
      <c r="A1830" s="73" t="inlineStr">
        <is>
          <t>100235-2</t>
        </is>
      </c>
      <c r="B1830" t="inlineStr">
        <is>
          <t>PENSADO, JUAN MANUEL</t>
        </is>
      </c>
    </row>
    <row r="1831">
      <c r="A1831" s="74" t="n">
        <v>500052</v>
      </c>
      <c r="B1831" t="inlineStr">
        <is>
          <t>FLORENCIA BELEN MARTINEZ VAZQU</t>
        </is>
      </c>
    </row>
    <row r="1832">
      <c r="A1832" s="74" t="n">
        <v>101181</v>
      </c>
      <c r="B1832" t="inlineStr">
        <is>
          <t>FROZEN DAS S.A.S.</t>
        </is>
      </c>
    </row>
    <row r="1833">
      <c r="A1833" s="73" t="inlineStr">
        <is>
          <t>100890-2</t>
        </is>
      </c>
      <c r="B1833" t="inlineStr">
        <is>
          <t>SANTA FE SUR 368 S.A.</t>
        </is>
      </c>
    </row>
    <row r="1834">
      <c r="A1834" s="74" t="n">
        <v>101182</v>
      </c>
      <c r="B1834" t="inlineStr">
        <is>
          <t>BORIS ROSSANA ELSA</t>
        </is>
      </c>
    </row>
    <row r="1835">
      <c r="A1835" s="73" t="inlineStr">
        <is>
          <t>100777-3</t>
        </is>
      </c>
      <c r="B1835" t="inlineStr">
        <is>
          <t>SOLBER S.R.L.</t>
        </is>
      </c>
    </row>
    <row r="1836">
      <c r="A1836" s="74" t="n">
        <v>101177</v>
      </c>
      <c r="B1836" t="inlineStr">
        <is>
          <t>AGUIRRE LISA VANESA</t>
        </is>
      </c>
    </row>
    <row r="1837">
      <c r="A1837" s="74" t="n">
        <v>700060</v>
      </c>
      <c r="B1837" t="inlineStr">
        <is>
          <t>GILBERTO JORGE GARCETE PAREDES</t>
        </is>
      </c>
    </row>
    <row r="1838">
      <c r="A1838" s="74" t="n">
        <v>700071</v>
      </c>
      <c r="B1838" t="inlineStr">
        <is>
          <t>MBA ÁPORA S.R.L.</t>
        </is>
      </c>
    </row>
    <row r="1839">
      <c r="A1839" s="74" t="n">
        <v>101184</v>
      </c>
      <c r="B1839" t="inlineStr">
        <is>
          <t>VIDELA JONATHAN DANIEL</t>
        </is>
      </c>
    </row>
    <row r="1840">
      <c r="A1840" s="74" t="n">
        <v>101161</v>
      </c>
      <c r="B1840" t="inlineStr">
        <is>
          <t>GELUM SAS</t>
        </is>
      </c>
    </row>
    <row r="1841">
      <c r="A1841" s="74" t="n">
        <v>500053</v>
      </c>
      <c r="B1841" t="inlineStr">
        <is>
          <t>UBIBOR SRL</t>
        </is>
      </c>
    </row>
    <row r="1842">
      <c r="A1842" s="74" t="n">
        <v>500054</v>
      </c>
      <c r="B1842" t="inlineStr">
        <is>
          <t>TOCO MADERA SRL</t>
        </is>
      </c>
    </row>
    <row r="1843">
      <c r="A1843" s="73" t="inlineStr">
        <is>
          <t>100618-2</t>
        </is>
      </c>
      <c r="B1843" t="inlineStr">
        <is>
          <t>MEATMAX S.R.L.</t>
        </is>
      </c>
    </row>
    <row r="1844">
      <c r="A1844" s="74" t="n">
        <v>600159</v>
      </c>
      <c r="B1844" t="inlineStr">
        <is>
          <t>COM RODRIGO SEPULVEDA RAMIREZ</t>
        </is>
      </c>
    </row>
    <row r="1845">
      <c r="A1845" s="74" t="n">
        <v>101193</v>
      </c>
      <c r="B1845" t="inlineStr">
        <is>
          <t>MILANESI ALVIS MARICEL NOEMI Y</t>
        </is>
      </c>
    </row>
    <row r="1846">
      <c r="A1846" s="74" t="n">
        <v>101195</v>
      </c>
      <c r="B1846" t="inlineStr">
        <is>
          <t>CASTRO LUCAS RAFAEL</t>
        </is>
      </c>
    </row>
    <row r="1847">
      <c r="A1847" s="74" t="n">
        <v>101200</v>
      </c>
      <c r="B1847" t="inlineStr">
        <is>
          <t>GBA M6 S.A.</t>
        </is>
      </c>
    </row>
    <row r="1848">
      <c r="A1848" s="74" t="n">
        <v>600177</v>
      </c>
      <c r="B1848" t="inlineStr">
        <is>
          <t>COM PAUL MICHAEL RODRIGUEZ BAR</t>
        </is>
      </c>
    </row>
    <row r="1849">
      <c r="A1849" s="74" t="n">
        <v>101201</v>
      </c>
      <c r="B1849" t="inlineStr">
        <is>
          <t>DORSCH LEANDRO JAVIER</t>
        </is>
      </c>
    </row>
    <row r="1850">
      <c r="A1850" s="74" t="n">
        <v>101203</v>
      </c>
      <c r="B1850" t="inlineStr">
        <is>
          <t>MAURO ECHEVARNE</t>
        </is>
      </c>
    </row>
    <row r="1851">
      <c r="A1851" s="74" t="n">
        <v>700065</v>
      </c>
      <c r="B1851" t="inlineStr">
        <is>
          <t>ANTONELLA MONSERAT VIERA NUÑEZ</t>
        </is>
      </c>
    </row>
    <row r="1852">
      <c r="A1852" s="74" t="n">
        <v>101207</v>
      </c>
      <c r="B1852" t="inlineStr">
        <is>
          <t>MASSIN RAUL OSCAR</t>
        </is>
      </c>
    </row>
    <row r="1853">
      <c r="A1853" s="74" t="n">
        <v>700066</v>
      </c>
      <c r="B1853" t="inlineStr">
        <is>
          <t>WILSON JAVIER LOPEZ DOMINGUEZ</t>
        </is>
      </c>
    </row>
    <row r="1854">
      <c r="A1854" s="74" t="n">
        <v>101215</v>
      </c>
      <c r="B1854" t="inlineStr">
        <is>
          <t>BAUER DANIEL ALBERTO</t>
        </is>
      </c>
    </row>
    <row r="1855">
      <c r="A1855" s="74" t="n">
        <v>101216</v>
      </c>
      <c r="B1855" t="inlineStr">
        <is>
          <t>GARCIA PABLO SEBASTIAN</t>
        </is>
      </c>
    </row>
    <row r="1856">
      <c r="A1856" s="74" t="n">
        <v>101217</v>
      </c>
      <c r="B1856" t="inlineStr">
        <is>
          <t>BONAVIA YANINA DANIELA</t>
        </is>
      </c>
    </row>
    <row r="1857">
      <c r="A1857" s="74" t="n">
        <v>101219</v>
      </c>
      <c r="B1857" t="inlineStr">
        <is>
          <t>ANGELINO DIEGO LEANDRO</t>
        </is>
      </c>
    </row>
    <row r="1858">
      <c r="A1858" s="73" t="inlineStr">
        <is>
          <t>100203-8</t>
        </is>
      </c>
      <c r="B1858" t="inlineStr">
        <is>
          <t>MONTECINOS LUCIANO SEBASTIAN</t>
        </is>
      </c>
    </row>
    <row r="1859">
      <c r="A1859" s="73" t="inlineStr">
        <is>
          <t>101164-1</t>
        </is>
      </c>
      <c r="B1859" t="inlineStr">
        <is>
          <t>MAURICIO HAMAK Y EMILIANO POZZ</t>
        </is>
      </c>
    </row>
    <row r="1860">
      <c r="A1860" s="74" t="n">
        <v>101221</v>
      </c>
      <c r="B1860" t="inlineStr">
        <is>
          <t>BREZZO FABIANA VALERIA</t>
        </is>
      </c>
    </row>
    <row r="1861">
      <c r="A1861" s="74" t="n">
        <v>101227</v>
      </c>
      <c r="B1861" t="inlineStr">
        <is>
          <t>MITRE MARIA VICTORIA</t>
        </is>
      </c>
    </row>
    <row r="1862">
      <c r="A1862" s="73" t="inlineStr">
        <is>
          <t>101049-1</t>
        </is>
      </c>
      <c r="B1862" t="inlineStr">
        <is>
          <t>ANEZ, JULIO RICARDO</t>
        </is>
      </c>
    </row>
    <row r="1863">
      <c r="A1863" s="73" t="inlineStr">
        <is>
          <t>100430-2</t>
        </is>
      </c>
      <c r="B1863" t="inlineStr">
        <is>
          <t>PESCIO, VERONICA SILVIA</t>
        </is>
      </c>
    </row>
    <row r="1864">
      <c r="A1864" s="73" t="inlineStr">
        <is>
          <t>100983-1</t>
        </is>
      </c>
      <c r="B1864" t="inlineStr">
        <is>
          <t>MARRERO, ROMINA GISELA</t>
        </is>
      </c>
    </row>
    <row r="1865">
      <c r="A1865" s="73" t="inlineStr">
        <is>
          <t>100906-1</t>
        </is>
      </c>
      <c r="B1865" t="inlineStr">
        <is>
          <t>RODRIGUEZ,AGUSTINA ALEJANDRA</t>
        </is>
      </c>
    </row>
    <row r="1866">
      <c r="A1866" s="74" t="n">
        <v>500056</v>
      </c>
      <c r="B1866" t="inlineStr">
        <is>
          <t>PEREZ CUADRO ALICIA CLAUDIA</t>
        </is>
      </c>
    </row>
    <row r="1867">
      <c r="A1867" s="74" t="n">
        <v>700067</v>
      </c>
      <c r="B1867" t="inlineStr">
        <is>
          <t>VITALI TEREZOLI FERNANDO ENRIQ</t>
        </is>
      </c>
    </row>
    <row r="1868">
      <c r="A1868" s="74" t="n">
        <v>101238</v>
      </c>
      <c r="B1868" t="inlineStr">
        <is>
          <t>ACCONCIA MARIO ARIEL</t>
        </is>
      </c>
    </row>
    <row r="1869">
      <c r="A1869" s="74" t="n">
        <v>101240</v>
      </c>
      <c r="B1869" t="inlineStr">
        <is>
          <t>MIRASSO GUSTAVO GABRIEL</t>
        </is>
      </c>
    </row>
    <row r="1870">
      <c r="A1870" s="74" t="n">
        <v>101241</v>
      </c>
      <c r="B1870" t="inlineStr">
        <is>
          <t>SILVA HERNAN DIEGO</t>
        </is>
      </c>
    </row>
    <row r="1871">
      <c r="A1871" s="74" t="n">
        <v>500058</v>
      </c>
      <c r="B1871" t="inlineStr">
        <is>
          <t>MARTÍNEZ VÁZQUEZ HEBER YAIR</t>
        </is>
      </c>
    </row>
    <row r="1872">
      <c r="A1872" s="74" t="n">
        <v>101242</v>
      </c>
      <c r="B1872" t="inlineStr">
        <is>
          <t>GOLUB MATIAS</t>
        </is>
      </c>
    </row>
    <row r="1873">
      <c r="A1873" s="73" t="inlineStr">
        <is>
          <t>100346-2</t>
        </is>
      </c>
      <c r="B1873" t="inlineStr">
        <is>
          <t>SANCHEZ, GERARDO MARIO</t>
        </is>
      </c>
    </row>
    <row r="1874">
      <c r="A1874" s="74" t="n">
        <v>101243</v>
      </c>
      <c r="B1874" t="inlineStr">
        <is>
          <t>PASTRANA SEBASTIAN</t>
        </is>
      </c>
    </row>
    <row r="1875">
      <c r="A1875" s="74" t="n">
        <v>101244</v>
      </c>
      <c r="B1875" t="inlineStr">
        <is>
          <t>MBARUQUE MARIO OMAR</t>
        </is>
      </c>
    </row>
    <row r="1876">
      <c r="A1876" s="74" t="n">
        <v>101245</v>
      </c>
      <c r="B1876" t="inlineStr">
        <is>
          <t>CASTRO PABLO LUCIANO</t>
        </is>
      </c>
    </row>
    <row r="1877">
      <c r="A1877" s="74" t="n">
        <v>101249</v>
      </c>
      <c r="B1877" t="inlineStr">
        <is>
          <t>DIEZ ALEJANDRO MAXIMILIANO</t>
        </is>
      </c>
    </row>
    <row r="1878">
      <c r="A1878" s="74" t="n">
        <v>101250</v>
      </c>
      <c r="B1878" t="inlineStr">
        <is>
          <t>CAMPELO MARIANO SEBASTIAN</t>
        </is>
      </c>
    </row>
    <row r="1879">
      <c r="A1879" s="74" t="n">
        <v>101251</v>
      </c>
      <c r="B1879" t="inlineStr">
        <is>
          <t>MASERA FLAVIO HERNAN</t>
        </is>
      </c>
    </row>
    <row r="1880">
      <c r="A1880" s="74" t="n">
        <v>700068</v>
      </c>
      <c r="B1880" t="inlineStr">
        <is>
          <t>SEGOVIA ORTIZ CYNTHIA RAQUEL</t>
        </is>
      </c>
    </row>
    <row r="1881">
      <c r="A1881" s="74" t="n">
        <v>700069</v>
      </c>
      <c r="B1881" t="inlineStr">
        <is>
          <t>SANTANDER GARCIA ENELDA RAMONA</t>
        </is>
      </c>
    </row>
    <row r="1882">
      <c r="A1882" s="74" t="n">
        <v>101252</v>
      </c>
      <c r="B1882" t="inlineStr">
        <is>
          <t>GRGONA IGNACIO SEBASTIAN</t>
        </is>
      </c>
    </row>
    <row r="1883">
      <c r="A1883" s="74" t="n">
        <v>500059</v>
      </c>
      <c r="B1883" t="inlineStr">
        <is>
          <t>PIÑEYRUA Y GIL S.A.S</t>
        </is>
      </c>
    </row>
    <row r="1884">
      <c r="A1884" s="74" t="n">
        <v>500060</v>
      </c>
      <c r="B1884" t="inlineStr">
        <is>
          <t>MAFASOVA S.A.S.</t>
        </is>
      </c>
    </row>
    <row r="1885">
      <c r="A1885" s="73" t="inlineStr">
        <is>
          <t>100094-2</t>
        </is>
      </c>
      <c r="B1885" t="inlineStr">
        <is>
          <t>RAMALLO, JOSE SALOMON OCAÑO</t>
        </is>
      </c>
    </row>
    <row r="1886">
      <c r="A1886" s="74" t="n">
        <v>101411</v>
      </c>
      <c r="B1886" t="inlineStr">
        <is>
          <t>FLIA GHB S.R.L.</t>
        </is>
      </c>
    </row>
    <row r="1887">
      <c r="A1887" s="73" t="inlineStr">
        <is>
          <t>100769-3</t>
        </is>
      </c>
      <c r="B1887" t="inlineStr">
        <is>
          <t>GRUPO POTENZA S.R.L.</t>
        </is>
      </c>
    </row>
    <row r="1888">
      <c r="A1888" s="74" t="n">
        <v>101255</v>
      </c>
      <c r="B1888" t="inlineStr">
        <is>
          <t>HELAVELLANEDA S.A.S</t>
        </is>
      </c>
    </row>
    <row r="1889">
      <c r="A1889" s="74" t="n">
        <v>500061</v>
      </c>
      <c r="B1889" t="inlineStr">
        <is>
          <t>CABRERA LEITES SOFIA CAMILA</t>
        </is>
      </c>
    </row>
    <row r="1890">
      <c r="A1890" s="74" t="n">
        <v>101256</v>
      </c>
      <c r="B1890" t="inlineStr">
        <is>
          <t>CIERVO AZUL S.R.L.</t>
        </is>
      </c>
    </row>
    <row r="1891">
      <c r="A1891" s="73" t="inlineStr">
        <is>
          <t>100034-1</t>
        </is>
      </c>
      <c r="B1891" t="inlineStr">
        <is>
          <t>CASTRO, SERGIO OMAR</t>
        </is>
      </c>
    </row>
    <row r="1892">
      <c r="A1892" s="74" t="n">
        <v>101257</v>
      </c>
      <c r="B1892" t="inlineStr">
        <is>
          <t>MARTINO CLAUDIA MARIA</t>
        </is>
      </c>
    </row>
    <row r="1893">
      <c r="A1893" s="74" t="n">
        <v>101258</v>
      </c>
      <c r="B1893" t="inlineStr">
        <is>
          <t>RIVERA JORGE EDUARDO</t>
        </is>
      </c>
    </row>
    <row r="1894">
      <c r="A1894" s="74" t="n">
        <v>500062</v>
      </c>
      <c r="B1894" t="inlineStr">
        <is>
          <t>PAEZ PECOY GONZALO</t>
        </is>
      </c>
    </row>
    <row r="1895">
      <c r="A1895" s="73" t="inlineStr">
        <is>
          <t>101185-1</t>
        </is>
      </c>
      <c r="B1895" t="inlineStr">
        <is>
          <t>MATOCA S.A.S.</t>
        </is>
      </c>
    </row>
    <row r="1896">
      <c r="A1896" s="74" t="n">
        <v>101259</v>
      </c>
      <c r="B1896" t="inlineStr">
        <is>
          <t>BARGAS MELISA EVANGELINA</t>
        </is>
      </c>
    </row>
    <row r="1897">
      <c r="A1897" s="73" t="inlineStr">
        <is>
          <t>100714-1</t>
        </is>
      </c>
      <c r="B1897" t="inlineStr">
        <is>
          <t>SIVA S.A.</t>
        </is>
      </c>
    </row>
    <row r="1898">
      <c r="A1898" s="74" t="n">
        <v>101260</v>
      </c>
      <c r="B1898" t="inlineStr">
        <is>
          <t>SANDOVAL NORBERTO LEONARDO</t>
        </is>
      </c>
    </row>
    <row r="1899">
      <c r="A1899" s="74" t="n">
        <v>101261</v>
      </c>
      <c r="B1899" t="inlineStr">
        <is>
          <t>SOTELO JAVIER ELIAS</t>
        </is>
      </c>
    </row>
    <row r="1900">
      <c r="A1900" s="73" t="inlineStr">
        <is>
          <t>100979-1</t>
        </is>
      </c>
      <c r="B1900" t="inlineStr">
        <is>
          <t>COSTA, SILVIA SOLEDAD</t>
        </is>
      </c>
    </row>
    <row r="1901">
      <c r="A1901" s="73" t="inlineStr">
        <is>
          <t>100954-1</t>
        </is>
      </c>
      <c r="B1901" t="inlineStr">
        <is>
          <t>ALTRUISTAS S.A.S.</t>
        </is>
      </c>
    </row>
    <row r="1902">
      <c r="A1902" s="73" t="inlineStr">
        <is>
          <t>100588-5</t>
        </is>
      </c>
      <c r="B1902" t="inlineStr">
        <is>
          <t>VICTORIO CATERING SRL</t>
        </is>
      </c>
    </row>
    <row r="1903">
      <c r="A1903" s="73" t="inlineStr">
        <is>
          <t>101098-1</t>
        </is>
      </c>
      <c r="B1903" t="inlineStr">
        <is>
          <t>RUIZ, MARIA ALEJANDRA</t>
        </is>
      </c>
    </row>
    <row r="1904">
      <c r="A1904" s="74" t="n">
        <v>700072</v>
      </c>
      <c r="B1904" t="inlineStr">
        <is>
          <t>LEON WALTER LEONEL</t>
        </is>
      </c>
    </row>
    <row r="1905">
      <c r="A1905" s="74" t="n">
        <v>700073</v>
      </c>
      <c r="B1905" t="inlineStr">
        <is>
          <t>GIMENEZ IBARRA FRANCISCO DAVID</t>
        </is>
      </c>
    </row>
    <row r="1906">
      <c r="A1906" s="73" t="inlineStr">
        <is>
          <t>100557-2</t>
        </is>
      </c>
      <c r="B1906" t="inlineStr">
        <is>
          <t>LO PINTO, DIORELLA GISELLE</t>
        </is>
      </c>
    </row>
    <row r="1907">
      <c r="A1907" s="74" t="n">
        <v>101264</v>
      </c>
      <c r="B1907" t="inlineStr">
        <is>
          <t>PACCORET MIREYA SUSANA</t>
        </is>
      </c>
    </row>
    <row r="1908">
      <c r="A1908" s="74" t="n">
        <v>700074</v>
      </c>
      <c r="B1908" t="inlineStr">
        <is>
          <t>MOLAS TURO EDELINDA STELA</t>
        </is>
      </c>
    </row>
    <row r="1909">
      <c r="A1909" s="74" t="n">
        <v>700075</v>
      </c>
      <c r="B1909" t="inlineStr">
        <is>
          <t>EDGARCITO S.R.L.</t>
        </is>
      </c>
    </row>
    <row r="1910">
      <c r="A1910" s="74" t="n">
        <v>101265</v>
      </c>
      <c r="B1910" t="inlineStr">
        <is>
          <t>JOFRE EDGARDO SEBASTIAN</t>
        </is>
      </c>
    </row>
    <row r="1911">
      <c r="A1911" s="74" t="n">
        <v>101266</v>
      </c>
      <c r="B1911" t="inlineStr">
        <is>
          <t>FERNANDEZ NADIA MILAGROS</t>
        </is>
      </c>
    </row>
    <row r="1912">
      <c r="A1912" s="74" t="n">
        <v>101441</v>
      </c>
      <c r="B1912" t="inlineStr">
        <is>
          <t>CARDENAS SANCHEZ LUIS GERARDO</t>
        </is>
      </c>
    </row>
    <row r="1913">
      <c r="A1913" s="74" t="n">
        <v>101268</v>
      </c>
      <c r="B1913" t="inlineStr">
        <is>
          <t>JIMENEZ ROBERTO RUBEN</t>
        </is>
      </c>
    </row>
    <row r="1914">
      <c r="A1914" s="74" t="n">
        <v>500063</v>
      </c>
      <c r="B1914" t="inlineStr">
        <is>
          <t>GOGAHNOS S.A.S.</t>
        </is>
      </c>
    </row>
    <row r="1915">
      <c r="A1915" s="74" t="n">
        <v>101269</v>
      </c>
      <c r="B1915" t="inlineStr">
        <is>
          <t>COMERCIAL ISAMA S.A.S.</t>
        </is>
      </c>
    </row>
    <row r="1916">
      <c r="A1916" s="73" t="inlineStr">
        <is>
          <t>100284-1</t>
        </is>
      </c>
      <c r="B1916" t="inlineStr">
        <is>
          <t>CARENA, MAXIMILIANO GASTON</t>
        </is>
      </c>
    </row>
    <row r="1917">
      <c r="A1917" s="73" t="inlineStr">
        <is>
          <t>100694-4</t>
        </is>
      </c>
      <c r="B1917" t="inlineStr">
        <is>
          <t>LESSER SALTA S.R.L.</t>
        </is>
      </c>
    </row>
    <row r="1918">
      <c r="A1918" s="74" t="n">
        <v>101275</v>
      </c>
      <c r="B1918" t="inlineStr">
        <is>
          <t>MAGUNA FACUNDO EDGARDO</t>
        </is>
      </c>
    </row>
    <row r="1919">
      <c r="A1919" s="74" t="n">
        <v>500065</v>
      </c>
      <c r="B1919" t="inlineStr">
        <is>
          <t>BORUCHOVAS COLMAN LEONARDO GAB</t>
        </is>
      </c>
    </row>
    <row r="1920">
      <c r="A1920" s="74" t="n">
        <v>101277</v>
      </c>
      <c r="B1920" t="inlineStr">
        <is>
          <t>GONZALEZ PAMELA MAGDALENA</t>
        </is>
      </c>
    </row>
    <row r="1921">
      <c r="A1921" s="74" t="n">
        <v>101278</v>
      </c>
      <c r="B1921" t="inlineStr">
        <is>
          <t>FELDMAN VERONICA BEATRIZ</t>
        </is>
      </c>
    </row>
    <row r="1922">
      <c r="A1922" s="74" t="n">
        <v>101279</v>
      </c>
      <c r="B1922" t="inlineStr">
        <is>
          <t>LAPLIZ S.R.L</t>
        </is>
      </c>
    </row>
    <row r="1923">
      <c r="A1923" s="73" t="inlineStr">
        <is>
          <t>100311-1</t>
        </is>
      </c>
      <c r="B1923" t="inlineStr">
        <is>
          <t>D´ALESSIO, MARIA EUGENIA</t>
        </is>
      </c>
    </row>
    <row r="1924">
      <c r="A1924" s="74" t="n">
        <v>600215</v>
      </c>
      <c r="B1924" t="inlineStr">
        <is>
          <t>EL SEÑOR DE LOS HELADOS SPA</t>
        </is>
      </c>
    </row>
    <row r="1925">
      <c r="A1925" s="74" t="n">
        <v>600216</v>
      </c>
      <c r="B1925" t="inlineStr">
        <is>
          <t>COM SOLERC. ANDRES CASTRO MILL</t>
        </is>
      </c>
    </row>
    <row r="1926">
      <c r="A1926" s="74" t="n">
        <v>600217</v>
      </c>
      <c r="B1926" t="inlineStr">
        <is>
          <t>COMERCIAL EBISU SPA</t>
        </is>
      </c>
    </row>
    <row r="1927">
      <c r="A1927" s="73" t="inlineStr">
        <is>
          <t>100495-2</t>
        </is>
      </c>
      <c r="B1927" t="inlineStr">
        <is>
          <t>BERTINO, MARÍA PAULA</t>
        </is>
      </c>
    </row>
    <row r="1928">
      <c r="A1928" s="74" t="n">
        <v>101280</v>
      </c>
      <c r="B1928" t="inlineStr">
        <is>
          <t>ANZOATEGUI PABLO DANIEL</t>
        </is>
      </c>
    </row>
    <row r="1929">
      <c r="A1929" s="74" t="n">
        <v>700080</v>
      </c>
      <c r="B1929" t="inlineStr">
        <is>
          <t>RODRIGUEZ ROLON JUAN JOSE</t>
        </is>
      </c>
    </row>
    <row r="1930">
      <c r="A1930" s="73" t="inlineStr">
        <is>
          <t>100594-23</t>
        </is>
      </c>
      <c r="B1930" t="inlineStr">
        <is>
          <t>J.A.V.R.I. S.R.L.</t>
        </is>
      </c>
    </row>
    <row r="1931">
      <c r="A1931" s="74" t="n">
        <v>600220</v>
      </c>
      <c r="B1931" t="inlineStr">
        <is>
          <t>CLIM SPA</t>
        </is>
      </c>
    </row>
    <row r="1932">
      <c r="A1932" s="73" t="inlineStr">
        <is>
          <t>100024-3</t>
        </is>
      </c>
      <c r="B1932" t="inlineStr">
        <is>
          <t>RODOLICO, PEDRO</t>
        </is>
      </c>
    </row>
    <row r="1933">
      <c r="A1933" s="74" t="n">
        <v>500071</v>
      </c>
      <c r="B1933" t="inlineStr">
        <is>
          <t>UMAMI SAS</t>
        </is>
      </c>
    </row>
    <row r="1934">
      <c r="A1934" s="73" t="inlineStr">
        <is>
          <t>101073-1</t>
        </is>
      </c>
      <c r="B1934" t="inlineStr">
        <is>
          <t>ANSELMI, JORGE ALBERTO</t>
        </is>
      </c>
    </row>
    <row r="1935">
      <c r="A1935" s="74" t="n">
        <v>101282</v>
      </c>
      <c r="B1935" t="inlineStr">
        <is>
          <t>CADAVIZ LUIS MARIA</t>
        </is>
      </c>
    </row>
    <row r="1936">
      <c r="A1936" s="74" t="n">
        <v>101283</v>
      </c>
      <c r="B1936" t="inlineStr">
        <is>
          <t>PALACIO NATALIA ANDREA</t>
        </is>
      </c>
    </row>
    <row r="1937">
      <c r="A1937" s="73" t="inlineStr">
        <is>
          <t>101141-1</t>
        </is>
      </c>
      <c r="B1937" t="inlineStr">
        <is>
          <t>RODRIGUEZ JOSE ANTONIO</t>
        </is>
      </c>
    </row>
    <row r="1938">
      <c r="A1938" s="74" t="n">
        <v>600221</v>
      </c>
      <c r="B1938" t="inlineStr">
        <is>
          <t>TASTY MAULE SPA</t>
        </is>
      </c>
    </row>
    <row r="1939">
      <c r="A1939" s="74" t="n">
        <v>101286</v>
      </c>
      <c r="B1939" t="inlineStr">
        <is>
          <t>BASTERRECHEA GONZALO DAMIAN</t>
        </is>
      </c>
    </row>
    <row r="1940">
      <c r="A1940" s="73" t="inlineStr">
        <is>
          <t>101288-1</t>
        </is>
      </c>
      <c r="B1940" t="inlineStr">
        <is>
          <t>MR99DM S.R.L.</t>
        </is>
      </c>
    </row>
    <row r="1941">
      <c r="A1941" s="74" t="n">
        <v>101289</v>
      </c>
      <c r="B1941" t="inlineStr">
        <is>
          <t>MAF DISTRIBUIDORA S.R.L</t>
        </is>
      </c>
    </row>
    <row r="1942">
      <c r="A1942" s="74" t="n">
        <v>101290</v>
      </c>
      <c r="B1942" t="inlineStr">
        <is>
          <t>PEREZ MANUEL MARTIN</t>
        </is>
      </c>
    </row>
    <row r="1943">
      <c r="A1943" s="74" t="n">
        <v>101291</v>
      </c>
      <c r="B1943" t="inlineStr">
        <is>
          <t>RAMAYON MARTIN ENRIQUE</t>
        </is>
      </c>
    </row>
    <row r="1944">
      <c r="A1944" s="74" t="n">
        <v>101293</v>
      </c>
      <c r="B1944" t="inlineStr">
        <is>
          <t>MOYANO MARIANO GERMAN</t>
        </is>
      </c>
    </row>
    <row r="1945">
      <c r="A1945" s="74" t="n">
        <v>101295</v>
      </c>
      <c r="B1945" t="inlineStr">
        <is>
          <t>MERCADO CAROLINA VANESA</t>
        </is>
      </c>
    </row>
    <row r="1946">
      <c r="A1946" s="74" t="n">
        <v>101296</v>
      </c>
      <c r="B1946" t="inlineStr">
        <is>
          <t>NATALE TATIANA DENISE</t>
        </is>
      </c>
    </row>
    <row r="1947">
      <c r="A1947" s="74" t="n">
        <v>101297</v>
      </c>
      <c r="B1947" t="inlineStr">
        <is>
          <t>BASSINI CESAR URIEL</t>
        </is>
      </c>
    </row>
    <row r="1948">
      <c r="A1948" s="73" t="inlineStr">
        <is>
          <t>100150-2</t>
        </is>
      </c>
      <c r="B1948" t="inlineStr">
        <is>
          <t>LOPEZ, PABLO ARTURO</t>
        </is>
      </c>
    </row>
    <row r="1949">
      <c r="A1949" s="74" t="n">
        <v>101298</v>
      </c>
      <c r="B1949" t="inlineStr">
        <is>
          <t>TRUBYCZ EDGARDO MARTIN</t>
        </is>
      </c>
    </row>
    <row r="1950">
      <c r="A1950" s="74" t="n">
        <v>500072</v>
      </c>
      <c r="B1950" t="inlineStr">
        <is>
          <t>SLICE S.A.S.</t>
        </is>
      </c>
    </row>
    <row r="1951">
      <c r="A1951" s="74" t="n">
        <v>101299</v>
      </c>
      <c r="B1951" t="inlineStr">
        <is>
          <t>COULLERY SASU</t>
        </is>
      </c>
    </row>
    <row r="1952">
      <c r="A1952" s="74" t="n">
        <v>101300</v>
      </c>
      <c r="B1952" t="inlineStr">
        <is>
          <t>MAGARIÑOS KEVIN GUILLERMO</t>
        </is>
      </c>
    </row>
    <row r="1953">
      <c r="A1953" s="74" t="n">
        <v>101301</v>
      </c>
      <c r="B1953" t="inlineStr">
        <is>
          <t>LEGUIZAMON SERGIO ERNESTO</t>
        </is>
      </c>
    </row>
    <row r="1954">
      <c r="A1954" s="73" t="inlineStr">
        <is>
          <t>100438-5</t>
        </is>
      </c>
      <c r="B1954" t="inlineStr">
        <is>
          <t>LOPEZ, RAMONA CRISTINA</t>
        </is>
      </c>
    </row>
    <row r="1955">
      <c r="A1955" s="74" t="n">
        <v>101303</v>
      </c>
      <c r="B1955" t="inlineStr">
        <is>
          <t>MONAFRAN S.R.L.</t>
        </is>
      </c>
    </row>
    <row r="1956">
      <c r="A1956" s="73" t="inlineStr">
        <is>
          <t>100821-1</t>
        </is>
      </c>
      <c r="B1956" t="inlineStr">
        <is>
          <t>SIERRAS CHICAS S.R.L.</t>
        </is>
      </c>
    </row>
    <row r="1957">
      <c r="A1957" s="73" t="inlineStr">
        <is>
          <t>100821-2</t>
        </is>
      </c>
      <c r="B1957" t="inlineStr">
        <is>
          <t>SIERRAS CHICAS S.R.L.</t>
        </is>
      </c>
    </row>
    <row r="1958">
      <c r="A1958" s="73" t="inlineStr">
        <is>
          <t>100821-3</t>
        </is>
      </c>
      <c r="B1958" t="inlineStr">
        <is>
          <t>SIERRAS CHICAS S.R.L.</t>
        </is>
      </c>
    </row>
    <row r="1959">
      <c r="A1959" s="73" t="inlineStr">
        <is>
          <t>100628-12</t>
        </is>
      </c>
      <c r="B1959" t="inlineStr">
        <is>
          <t>FRANCOR S.R.L.</t>
        </is>
      </c>
    </row>
    <row r="1960">
      <c r="A1960" s="74" t="n">
        <v>101304</v>
      </c>
      <c r="B1960" t="inlineStr">
        <is>
          <t>FUNES CRISTIAN ROMUALDO</t>
        </is>
      </c>
    </row>
    <row r="1961">
      <c r="A1961" s="73" t="inlineStr">
        <is>
          <t> </t>
        </is>
      </c>
      <c r="B1961" t="inlineStr">
        <is>
          <t> </t>
        </is>
      </c>
    </row>
    <row r="1962">
      <c r="A1962" s="74" t="n">
        <v>101307</v>
      </c>
      <c r="B1962" t="inlineStr">
        <is>
          <t>SEGOVIA ROCIO ANAHI</t>
        </is>
      </c>
    </row>
    <row r="1963">
      <c r="A1963" s="74" t="n">
        <v>101309</v>
      </c>
      <c r="B1963" t="inlineStr">
        <is>
          <t>BERTUCCI SUAREZ ALEJANDRO SEBA</t>
        </is>
      </c>
    </row>
    <row r="1964">
      <c r="A1964" s="74" t="n">
        <v>101310</v>
      </c>
      <c r="B1964" t="inlineStr">
        <is>
          <t>PAZ CARLOS ARIEL</t>
        </is>
      </c>
    </row>
    <row r="1965">
      <c r="A1965" s="73" t="inlineStr">
        <is>
          <t>100269-1</t>
        </is>
      </c>
      <c r="B1965" t="inlineStr">
        <is>
          <t>SCHEUCHER, HEINRICH ALAIN</t>
        </is>
      </c>
    </row>
    <row r="1966">
      <c r="A1966" s="74" t="n">
        <v>700111</v>
      </c>
      <c r="B1966" t="inlineStr">
        <is>
          <t>PARCORD E.A.S</t>
        </is>
      </c>
    </row>
    <row r="1967">
      <c r="A1967" s="74" t="n">
        <v>600222</v>
      </c>
      <c r="B1967" t="inlineStr">
        <is>
          <t>GASTRONOMICA Y PUB BORDA LOZAN</t>
        </is>
      </c>
    </row>
    <row r="1968">
      <c r="A1968" s="74" t="n">
        <v>101311</v>
      </c>
      <c r="B1968" t="inlineStr">
        <is>
          <t>DIAZ GONZALO RODRIGO</t>
        </is>
      </c>
    </row>
    <row r="1969">
      <c r="A1969" s="73" t="inlineStr">
        <is>
          <t>101250-1</t>
        </is>
      </c>
      <c r="B1969" t="inlineStr">
        <is>
          <t>CAMPELO MARIANO SEBASTIAN</t>
        </is>
      </c>
    </row>
    <row r="1970">
      <c r="A1970" s="74" t="n">
        <v>101317</v>
      </c>
      <c r="B1970" t="inlineStr">
        <is>
          <t>AZNAREZ KLEES RONALD MARIO</t>
        </is>
      </c>
    </row>
    <row r="1971">
      <c r="A1971" s="74" t="n">
        <v>600223</v>
      </c>
      <c r="B1971" t="inlineStr">
        <is>
          <t>COMERCIALIZADORA HERNAN MEDRAN</t>
        </is>
      </c>
    </row>
    <row r="1972">
      <c r="A1972" s="74" t="n">
        <v>101318</v>
      </c>
      <c r="B1972" t="inlineStr">
        <is>
          <t>BARRIONUEVO GABRIEL ALEJANDRO</t>
        </is>
      </c>
    </row>
    <row r="1973">
      <c r="A1973" s="74" t="n">
        <v>500073</v>
      </c>
      <c r="B1973" t="inlineStr">
        <is>
          <t>ARIAS D. DAHIANA V.Y LORENCIO</t>
        </is>
      </c>
    </row>
    <row r="1974">
      <c r="A1974" s="73" t="inlineStr">
        <is>
          <t>101314-2</t>
        </is>
      </c>
      <c r="B1974" t="inlineStr">
        <is>
          <t>KIRI HELADOS S.R.L.</t>
        </is>
      </c>
    </row>
    <row r="1975">
      <c r="A1975" s="73" t="inlineStr">
        <is>
          <t>100560-2</t>
        </is>
      </c>
      <c r="B1975" t="inlineStr">
        <is>
          <t>MONACO, MAILEN AYELEN</t>
        </is>
      </c>
    </row>
    <row r="1976">
      <c r="A1976" s="74" t="n">
        <v>600224</v>
      </c>
      <c r="B1976" t="inlineStr">
        <is>
          <t>COMERCIAL NATALIA F. AVELLO HE</t>
        </is>
      </c>
    </row>
    <row r="1977">
      <c r="A1977" s="73" t="inlineStr">
        <is>
          <t>101158-1</t>
        </is>
      </c>
      <c r="B1977" t="inlineStr">
        <is>
          <t>SASTRE BETSABE</t>
        </is>
      </c>
    </row>
    <row r="1978">
      <c r="A1978" s="74" t="n">
        <v>600225</v>
      </c>
      <c r="B1978" t="inlineStr">
        <is>
          <t>INVERSIONES M&amp;R SPA</t>
        </is>
      </c>
    </row>
    <row r="1979">
      <c r="A1979" s="74" t="n">
        <v>101320</v>
      </c>
      <c r="B1979" t="inlineStr">
        <is>
          <t>CARDOZO TEOFILO CARLOS</t>
        </is>
      </c>
    </row>
    <row r="1980">
      <c r="A1980" s="74" t="n">
        <v>700082</v>
      </c>
      <c r="B1980" t="inlineStr">
        <is>
          <t>ALONSO JORGE LUIS</t>
        </is>
      </c>
    </row>
    <row r="1981">
      <c r="A1981" s="74" t="n">
        <v>101321</v>
      </c>
      <c r="B1981" t="inlineStr">
        <is>
          <t>MATETO S.A.S.</t>
        </is>
      </c>
    </row>
    <row r="1982">
      <c r="A1982" s="74" t="n">
        <v>700083</v>
      </c>
      <c r="B1982" t="inlineStr">
        <is>
          <t>RUIZ ZELAYA RUTH NATALIA</t>
        </is>
      </c>
    </row>
    <row r="1983">
      <c r="A1983" s="74" t="n">
        <v>101322</v>
      </c>
      <c r="B1983" t="inlineStr">
        <is>
          <t>CIAVATTA AXEL LEONEL</t>
        </is>
      </c>
    </row>
    <row r="1984">
      <c r="A1984" s="73" t="inlineStr">
        <is>
          <t>101155-1</t>
        </is>
      </c>
      <c r="B1984" t="inlineStr">
        <is>
          <t>VASSALLO SOFIA DIONISIA DEL CA</t>
        </is>
      </c>
    </row>
    <row r="1985">
      <c r="A1985" s="74" t="n">
        <v>600226</v>
      </c>
      <c r="B1985" t="inlineStr">
        <is>
          <t>COMERCIAL LA FLORIDA 8725 SPA</t>
        </is>
      </c>
    </row>
    <row r="1986">
      <c r="A1986" s="74" t="n">
        <v>600227</v>
      </c>
      <c r="B1986" t="inlineStr">
        <is>
          <t>COMERCIAL JOCELYN S.MENDEZ YAÑ</t>
        </is>
      </c>
    </row>
    <row r="1987">
      <c r="A1987" s="74" t="n">
        <v>600228</v>
      </c>
      <c r="B1987" t="inlineStr">
        <is>
          <t>INVERSIONES CATHERINE A. MOREN</t>
        </is>
      </c>
    </row>
    <row r="1988">
      <c r="A1988" s="74" t="n">
        <v>600229</v>
      </c>
      <c r="B1988" t="inlineStr">
        <is>
          <t>INVERSIONES JAIME SEGUEL VARGA</t>
        </is>
      </c>
    </row>
    <row r="1989">
      <c r="A1989" s="74" t="n">
        <v>700084</v>
      </c>
      <c r="B1989" t="inlineStr">
        <is>
          <t>GUIMARAES LIMA DANIEL</t>
        </is>
      </c>
    </row>
    <row r="1990">
      <c r="A1990" s="74" t="n">
        <v>700085</v>
      </c>
      <c r="B1990" t="inlineStr">
        <is>
          <t>ACOSTA AVALOS LIZA CONCEPCIÓN</t>
        </is>
      </c>
    </row>
    <row r="1991">
      <c r="A1991" s="74" t="n">
        <v>600230</v>
      </c>
      <c r="B1991" t="inlineStr">
        <is>
          <t>COMERCIAL KAMER FALCON E.I.R.L</t>
        </is>
      </c>
    </row>
    <row r="1992">
      <c r="A1992" s="73" t="inlineStr">
        <is>
          <t>100946-1</t>
        </is>
      </c>
      <c r="B1992" t="inlineStr">
        <is>
          <t>TORANZOS, SUSANA ELIZABETH</t>
        </is>
      </c>
    </row>
    <row r="1993">
      <c r="A1993" s="74" t="n">
        <v>101328</v>
      </c>
      <c r="B1993" t="inlineStr">
        <is>
          <t>CAMPELO NATALIA VERONICA</t>
        </is>
      </c>
    </row>
    <row r="1994">
      <c r="A1994" s="74" t="n">
        <v>700087</v>
      </c>
      <c r="B1994" t="inlineStr">
        <is>
          <t>SANDOVAL CARRILLO CARLOS AUGUS</t>
        </is>
      </c>
    </row>
    <row r="1995">
      <c r="A1995" s="73" t="inlineStr">
        <is>
          <t>100276-2</t>
        </is>
      </c>
      <c r="B1995" t="inlineStr">
        <is>
          <t>VERA, RODRIGO ALBERTO</t>
        </is>
      </c>
    </row>
    <row r="1996">
      <c r="A1996" s="74" t="n">
        <v>101329</v>
      </c>
      <c r="B1996" t="inlineStr">
        <is>
          <t>BARRAL ROCIO</t>
        </is>
      </c>
    </row>
    <row r="1997">
      <c r="A1997" s="74" t="n">
        <v>600231</v>
      </c>
      <c r="B1997" t="inlineStr">
        <is>
          <t>INVERSIONES DAAN LIMITADA</t>
        </is>
      </c>
    </row>
    <row r="1998">
      <c r="A1998" s="74" t="n">
        <v>101330</v>
      </c>
      <c r="B1998" t="inlineStr">
        <is>
          <t>CALVO ANDRES EMILIANO</t>
        </is>
      </c>
    </row>
    <row r="1999">
      <c r="A1999" s="74" t="n">
        <v>101331</v>
      </c>
      <c r="B1999" t="inlineStr">
        <is>
          <t>GUZMAN CAROLINA DANIELA</t>
        </is>
      </c>
    </row>
    <row r="2000">
      <c r="A2000" s="74" t="n">
        <v>101332</v>
      </c>
      <c r="B2000" t="inlineStr">
        <is>
          <t>CORDOBA GREGORIA BALBINA</t>
        </is>
      </c>
    </row>
    <row r="2001">
      <c r="A2001" s="74" t="n">
        <v>101337</v>
      </c>
      <c r="B2001" t="inlineStr">
        <is>
          <t>ESCALANTE JONATAN LEANDRO</t>
        </is>
      </c>
    </row>
    <row r="2002">
      <c r="A2002" s="74" t="n">
        <v>101339</v>
      </c>
      <c r="B2002" t="inlineStr">
        <is>
          <t>MENDEZ DIEGO FERNANDO</t>
        </is>
      </c>
    </row>
    <row r="2003">
      <c r="A2003" s="74" t="n">
        <v>700088</v>
      </c>
      <c r="B2003" t="inlineStr">
        <is>
          <t>BRITEZ ALICIA MATILDE</t>
        </is>
      </c>
    </row>
    <row r="2004">
      <c r="A2004" s="74" t="n">
        <v>101341</v>
      </c>
      <c r="B2004" t="inlineStr">
        <is>
          <t>BARCENAS FLORENCIA ELIZABET</t>
        </is>
      </c>
    </row>
    <row r="2005">
      <c r="A2005" s="73" t="inlineStr">
        <is>
          <t>100958-2</t>
        </is>
      </c>
      <c r="B2005" t="inlineStr">
        <is>
          <t>PANAGRI PUSH S.A.S.</t>
        </is>
      </c>
    </row>
    <row r="2006">
      <c r="A2006" s="74" t="n">
        <v>101342</v>
      </c>
      <c r="B2006" t="inlineStr">
        <is>
          <t>PI CRISTIAN FEDERICO</t>
        </is>
      </c>
    </row>
    <row r="2007">
      <c r="A2007" s="74" t="n">
        <v>101344</v>
      </c>
      <c r="B2007" t="inlineStr">
        <is>
          <t>CASTELLI MARA DEOLINDA</t>
        </is>
      </c>
    </row>
    <row r="2008">
      <c r="A2008" s="73" t="inlineStr">
        <is>
          <t>101072-1</t>
        </is>
      </c>
      <c r="B2008" t="inlineStr">
        <is>
          <t>FERRARI, MARCELO FERNANDO</t>
        </is>
      </c>
    </row>
    <row r="2009">
      <c r="A2009" s="73" t="inlineStr">
        <is>
          <t>101150-1</t>
        </is>
      </c>
      <c r="B2009" t="inlineStr">
        <is>
          <t>BOTTERO EUGENIA CAROLINA</t>
        </is>
      </c>
    </row>
    <row r="2010">
      <c r="A2010" s="74" t="n">
        <v>101345</v>
      </c>
      <c r="B2010" t="inlineStr">
        <is>
          <t>DIAZ JOSE ALBERTO</t>
        </is>
      </c>
    </row>
    <row r="2011">
      <c r="A2011" s="74" t="n">
        <v>101343</v>
      </c>
      <c r="B2011" t="inlineStr">
        <is>
          <t>VERA AGUSTINA BEATRIZ</t>
        </is>
      </c>
    </row>
    <row r="2012">
      <c r="A2012" s="74" t="n">
        <v>101346</v>
      </c>
      <c r="B2012" t="inlineStr">
        <is>
          <t>QUINTEROS LUIS ALBERTO</t>
        </is>
      </c>
    </row>
    <row r="2013">
      <c r="A2013" s="74" t="n">
        <v>700089</v>
      </c>
      <c r="B2013" t="inlineStr">
        <is>
          <t>RIVAS ESCOBAR MARIA CECILIA</t>
        </is>
      </c>
    </row>
    <row r="2014">
      <c r="A2014" s="73" t="inlineStr">
        <is>
          <t>101019-1</t>
        </is>
      </c>
      <c r="B2014" t="inlineStr">
        <is>
          <t>VIDELA, MATIAS ALEJANDRO</t>
        </is>
      </c>
    </row>
    <row r="2015">
      <c r="A2015" s="74" t="n">
        <v>600232</v>
      </c>
      <c r="B2015" t="inlineStr">
        <is>
          <t>MALEJO VICTORIA SPA</t>
        </is>
      </c>
    </row>
    <row r="2016">
      <c r="A2016" s="73" t="inlineStr">
        <is>
          <t>100636-5</t>
        </is>
      </c>
      <c r="B2016" t="inlineStr">
        <is>
          <t>LIMA MARIO D. Y ALAVA R. SERGI</t>
        </is>
      </c>
    </row>
    <row r="2017">
      <c r="A2017" s="74" t="n">
        <v>101348</v>
      </c>
      <c r="B2017" t="inlineStr">
        <is>
          <t>SANCHEZ LAURA ALEJANDRA</t>
        </is>
      </c>
    </row>
    <row r="2018">
      <c r="A2018" s="74" t="n">
        <v>101349</v>
      </c>
      <c r="B2018" t="inlineStr">
        <is>
          <t>ACHAVAL RODRIGUEZ OTERO MACARE</t>
        </is>
      </c>
    </row>
    <row r="2019">
      <c r="A2019" s="73" t="inlineStr">
        <is>
          <t>101094-1</t>
        </is>
      </c>
      <c r="B2019" t="inlineStr">
        <is>
          <t>GONZALEZ, CLAUDIO MARCELO</t>
        </is>
      </c>
    </row>
    <row r="2020">
      <c r="A2020" s="73" t="inlineStr">
        <is>
          <t>101064-1</t>
        </is>
      </c>
      <c r="B2020" t="inlineStr">
        <is>
          <t>IANNI, CHRISTIAN ALEJANDRO</t>
        </is>
      </c>
    </row>
    <row r="2021">
      <c r="A2021" s="74" t="n">
        <v>500074</v>
      </c>
      <c r="B2021" t="inlineStr">
        <is>
          <t>ESPANI SA</t>
        </is>
      </c>
    </row>
    <row r="2022">
      <c r="A2022" s="73" t="inlineStr">
        <is>
          <t>100345-1</t>
        </is>
      </c>
      <c r="B2022" t="inlineStr">
        <is>
          <t>ECHEVERRI, SERGIO LUIS</t>
        </is>
      </c>
    </row>
    <row r="2023">
      <c r="A2023" s="74" t="n">
        <v>101352</v>
      </c>
      <c r="B2023" t="inlineStr">
        <is>
          <t>RIVERO SILVINA MARIELA</t>
        </is>
      </c>
    </row>
    <row r="2024">
      <c r="A2024" s="73" t="inlineStr">
        <is>
          <t>101264-1</t>
        </is>
      </c>
      <c r="B2024" t="inlineStr">
        <is>
          <t>PACCORET MIREYA SUSANA</t>
        </is>
      </c>
    </row>
    <row r="2025">
      <c r="A2025" s="74" t="n">
        <v>101353</v>
      </c>
      <c r="B2025" t="inlineStr">
        <is>
          <t>COGAN GABRIELA ANALIA</t>
        </is>
      </c>
    </row>
    <row r="2026">
      <c r="A2026" s="73" t="inlineStr">
        <is>
          <t>101159-1</t>
        </is>
      </c>
      <c r="B2026" t="inlineStr">
        <is>
          <t>LEMOS MARIA FERNANDA</t>
        </is>
      </c>
    </row>
    <row r="2027">
      <c r="A2027" s="74" t="n">
        <v>101354</v>
      </c>
      <c r="B2027" t="inlineStr">
        <is>
          <t>ENCINAS FLORENCIA GLADYS</t>
        </is>
      </c>
    </row>
    <row r="2028">
      <c r="A2028" s="74" t="n">
        <v>101355</v>
      </c>
      <c r="B2028" t="inlineStr">
        <is>
          <t>RIVERA GUSTAVO EMANUEL</t>
        </is>
      </c>
    </row>
    <row r="2029">
      <c r="A2029" s="74" t="n">
        <v>101356</v>
      </c>
      <c r="B2029" t="inlineStr">
        <is>
          <t>GOMEZ NOEMI WENDY SOLEDAD</t>
        </is>
      </c>
    </row>
    <row r="2030">
      <c r="A2030" s="74" t="n">
        <v>101357</v>
      </c>
      <c r="B2030" t="inlineStr">
        <is>
          <t>ICEDOM S.R.L.</t>
        </is>
      </c>
    </row>
    <row r="2031">
      <c r="A2031" s="74" t="n">
        <v>101360</v>
      </c>
      <c r="B2031" t="inlineStr">
        <is>
          <t>ANAMACA S.R.L</t>
        </is>
      </c>
    </row>
    <row r="2032">
      <c r="A2032" s="74" t="n">
        <v>101361</v>
      </c>
      <c r="B2032" t="inlineStr">
        <is>
          <t>GODOY DIEGO ARMANDO</t>
        </is>
      </c>
    </row>
    <row r="2033">
      <c r="A2033" s="74" t="n">
        <v>101362</v>
      </c>
      <c r="B2033" t="inlineStr">
        <is>
          <t>BARONEGRO S.A.S.</t>
        </is>
      </c>
    </row>
    <row r="2034">
      <c r="A2034" s="74" t="n">
        <v>101364</v>
      </c>
      <c r="B2034" t="inlineStr">
        <is>
          <t>FLORGADA S.A</t>
        </is>
      </c>
    </row>
    <row r="2035">
      <c r="A2035" s="73" t="inlineStr">
        <is>
          <t>101133-1</t>
        </is>
      </c>
      <c r="B2035" t="inlineStr">
        <is>
          <t>MARTINEZ RAUL HORACIO</t>
        </is>
      </c>
    </row>
    <row r="2036">
      <c r="A2036" s="73" t="inlineStr">
        <is>
          <t>101365-2</t>
        </is>
      </c>
      <c r="B2036" t="inlineStr">
        <is>
          <t>DOMINGUEZ ANDREA MARIANA</t>
        </is>
      </c>
    </row>
    <row r="2037">
      <c r="A2037" s="73" t="inlineStr">
        <is>
          <t>101365-1</t>
        </is>
      </c>
      <c r="B2037" t="inlineStr">
        <is>
          <t>DOMINGUEZ ANDREA MARIANA</t>
        </is>
      </c>
    </row>
    <row r="2038">
      <c r="A2038" s="74" t="n">
        <v>101366</v>
      </c>
      <c r="B2038" t="inlineStr">
        <is>
          <t>BERTELLOTTI GUSTAVO ALEJANDRO</t>
        </is>
      </c>
    </row>
    <row r="2039">
      <c r="A2039" s="74" t="n">
        <v>600235</v>
      </c>
      <c r="B2039" t="inlineStr">
        <is>
          <t>COMERCIAL ALICANTE PAOLA BARRE</t>
        </is>
      </c>
    </row>
    <row r="2040">
      <c r="A2040" s="74" t="n">
        <v>600236</v>
      </c>
      <c r="B2040" t="inlineStr">
        <is>
          <t>COMERCIALIZADORA CRISTIAN ROMA</t>
        </is>
      </c>
    </row>
    <row r="2041">
      <c r="A2041" s="74" t="n">
        <v>101370</v>
      </c>
      <c r="B2041" t="inlineStr">
        <is>
          <t>BARRIOS DAIANA GABRIELA</t>
        </is>
      </c>
    </row>
    <row r="2042">
      <c r="A2042" s="74" t="n">
        <v>101371</v>
      </c>
      <c r="B2042" t="inlineStr">
        <is>
          <t>CABRED ESTEBAN ANDRES</t>
        </is>
      </c>
    </row>
    <row r="2043">
      <c r="A2043" s="74" t="n">
        <v>101372</v>
      </c>
      <c r="B2043" t="inlineStr">
        <is>
          <t>DEPSE INVERSIONES S.A.S.</t>
        </is>
      </c>
    </row>
    <row r="2044">
      <c r="A2044" s="73" t="inlineStr">
        <is>
          <t>101071-1</t>
        </is>
      </c>
      <c r="B2044" t="inlineStr">
        <is>
          <t>DE MARZO, CARLOS DAMIAN</t>
        </is>
      </c>
    </row>
    <row r="2045">
      <c r="A2045" s="74" t="n">
        <v>101374</v>
      </c>
      <c r="B2045" t="inlineStr">
        <is>
          <t>FOSCHIATTI MATIAS ANDRES</t>
        </is>
      </c>
    </row>
    <row r="2046">
      <c r="A2046" s="74" t="n">
        <v>101376</v>
      </c>
      <c r="B2046" t="inlineStr">
        <is>
          <t>CHIURCHIU JUAN JESUS</t>
        </is>
      </c>
    </row>
    <row r="2047">
      <c r="A2047" s="74" t="n">
        <v>101377</v>
      </c>
      <c r="B2047" t="inlineStr">
        <is>
          <t>STRIEDER GENOVEVA</t>
        </is>
      </c>
    </row>
    <row r="2048">
      <c r="A2048" s="73" t="inlineStr">
        <is>
          <t>101061-1</t>
        </is>
      </c>
      <c r="B2048" t="inlineStr">
        <is>
          <t>BARGO BORDON, NORMA NATALIA</t>
        </is>
      </c>
    </row>
    <row r="2049">
      <c r="A2049" s="74" t="n">
        <v>101378</v>
      </c>
      <c r="B2049" t="inlineStr">
        <is>
          <t>ALMADA LEONARDO ALBERTO</t>
        </is>
      </c>
    </row>
    <row r="2050">
      <c r="A2050" s="74" t="n">
        <v>101379</v>
      </c>
      <c r="B2050" t="inlineStr">
        <is>
          <t>ORTEGA MARIA DE LOS ANGELES</t>
        </is>
      </c>
    </row>
    <row r="2051">
      <c r="A2051" s="74" t="n">
        <v>600237</v>
      </c>
      <c r="B2051" t="inlineStr">
        <is>
          <t>INVERSIONES PALSAM SpA</t>
        </is>
      </c>
    </row>
    <row r="2052">
      <c r="A2052" s="74" t="n">
        <v>500075</v>
      </c>
      <c r="B2052" t="inlineStr">
        <is>
          <t>SAKENDA S.A.S.</t>
        </is>
      </c>
    </row>
    <row r="2053">
      <c r="A2053" s="73" t="inlineStr">
        <is>
          <t>100736-2</t>
        </is>
      </c>
      <c r="B2053" t="inlineStr">
        <is>
          <t>VIK-LO S.A.</t>
        </is>
      </c>
    </row>
    <row r="2054">
      <c r="A2054" s="74" t="n">
        <v>101380</v>
      </c>
      <c r="B2054" t="inlineStr">
        <is>
          <t>HEREÑU DANIELA SILVIA</t>
        </is>
      </c>
    </row>
    <row r="2055">
      <c r="A2055" s="74" t="n">
        <v>101381</v>
      </c>
      <c r="B2055" t="inlineStr">
        <is>
          <t>GIMENEZ JOSE CLAUDIO</t>
        </is>
      </c>
    </row>
    <row r="2056">
      <c r="A2056" s="74" t="n">
        <v>101382</v>
      </c>
      <c r="B2056" t="inlineStr">
        <is>
          <t>ALANIS GERMAN DARIO</t>
        </is>
      </c>
    </row>
    <row r="2057">
      <c r="A2057" s="74" t="n">
        <v>101383</v>
      </c>
      <c r="B2057" t="inlineStr">
        <is>
          <t>DALPRA VANESA FATIMA</t>
        </is>
      </c>
    </row>
    <row r="2058">
      <c r="A2058" s="73" t="inlineStr">
        <is>
          <t>101042-1</t>
        </is>
      </c>
      <c r="B2058" t="inlineStr">
        <is>
          <t>LESCANO CASSULO, ENZO ROMAN</t>
        </is>
      </c>
    </row>
    <row r="2059">
      <c r="A2059" s="73" t="inlineStr">
        <is>
          <t>100657-1</t>
        </is>
      </c>
      <c r="B2059" t="inlineStr">
        <is>
          <t>LADO VERDE S.R.L.</t>
        </is>
      </c>
    </row>
    <row r="2060">
      <c r="A2060" s="74" t="n">
        <v>101385</v>
      </c>
      <c r="B2060" t="inlineStr">
        <is>
          <t>GAMBERO MAURICIO ROBERTO FABIA</t>
        </is>
      </c>
    </row>
    <row r="2061">
      <c r="A2061" s="74" t="n">
        <v>700090</v>
      </c>
      <c r="B2061" t="inlineStr">
        <is>
          <t>SPERATTI OZUNA JOSE MANUEL</t>
        </is>
      </c>
    </row>
    <row r="2062">
      <c r="A2062" s="74" t="n">
        <v>101386</v>
      </c>
      <c r="B2062" t="inlineStr">
        <is>
          <t>RODRIGUEZ YOLANDA TAMARA</t>
        </is>
      </c>
    </row>
    <row r="2063">
      <c r="A2063" s="74" t="n">
        <v>101387</v>
      </c>
      <c r="B2063" t="inlineStr">
        <is>
          <t>MANSILLA VERONICA ELIZABETH</t>
        </is>
      </c>
    </row>
    <row r="2064">
      <c r="A2064" s="74" t="n">
        <v>700091</v>
      </c>
      <c r="B2064" t="inlineStr">
        <is>
          <t>WEINGARSHOFER AGUERO ALBERTO J</t>
        </is>
      </c>
    </row>
    <row r="2065">
      <c r="A2065" s="74" t="n">
        <v>700092</v>
      </c>
      <c r="B2065" t="inlineStr">
        <is>
          <t>CHAMORRO GABRIELA ISABEL</t>
        </is>
      </c>
    </row>
    <row r="2066">
      <c r="A2066" s="74" t="n">
        <v>101388</v>
      </c>
      <c r="B2066" t="inlineStr">
        <is>
          <t>VILLA MARTINEZ GUSTAVO</t>
        </is>
      </c>
    </row>
    <row r="2067">
      <c r="A2067" s="74" t="n">
        <v>101389</v>
      </c>
      <c r="B2067" t="inlineStr">
        <is>
          <t>MARKARIAN JUAN ANDRES</t>
        </is>
      </c>
    </row>
    <row r="2068">
      <c r="A2068" s="74" t="n">
        <v>101390</v>
      </c>
      <c r="B2068" t="inlineStr">
        <is>
          <t>DOMINGUEZ MARCELA ALEJANDRA</t>
        </is>
      </c>
    </row>
    <row r="2069">
      <c r="A2069" s="73" t="inlineStr">
        <is>
          <t>100751-1</t>
        </is>
      </c>
      <c r="B2069" t="inlineStr">
        <is>
          <t>JEPOL HNOS S.R.L</t>
        </is>
      </c>
    </row>
    <row r="2070">
      <c r="A2070" s="73" t="inlineStr">
        <is>
          <t>100712-3</t>
        </is>
      </c>
      <c r="B2070" t="inlineStr">
        <is>
          <t>BASE SUR S.R.L.</t>
        </is>
      </c>
    </row>
    <row r="2071">
      <c r="A2071" s="74" t="n">
        <v>101391</v>
      </c>
      <c r="B2071" t="inlineStr">
        <is>
          <t>VIZCARRA SABRINA BEATRIZ</t>
        </is>
      </c>
    </row>
    <row r="2072">
      <c r="A2072" s="73" t="inlineStr">
        <is>
          <t>100763-3</t>
        </is>
      </c>
      <c r="B2072" t="inlineStr">
        <is>
          <t>ANA HUERGO Y OSVALDO RODRIGUEZ</t>
        </is>
      </c>
    </row>
    <row r="2073">
      <c r="A2073" s="74" t="n">
        <v>700093</v>
      </c>
      <c r="B2073" t="inlineStr">
        <is>
          <t>LEIVA RIVAROLA VICTOR MANUEL</t>
        </is>
      </c>
    </row>
    <row r="2074">
      <c r="A2074" s="74" t="n">
        <v>700094</v>
      </c>
      <c r="B2074" t="inlineStr">
        <is>
          <t>CORONEL RECH JUAN PABLO</t>
        </is>
      </c>
    </row>
    <row r="2075">
      <c r="A2075" s="74" t="n">
        <v>700095</v>
      </c>
      <c r="B2075" t="inlineStr">
        <is>
          <t>FERNANDEZ ENCISO ARMANDO SEBAS</t>
        </is>
      </c>
    </row>
    <row r="2076">
      <c r="A2076" s="74" t="n">
        <v>101392</v>
      </c>
      <c r="B2076" t="inlineStr">
        <is>
          <t>HELADOS CORDELPLATA S.A.S.</t>
        </is>
      </c>
    </row>
    <row r="2077">
      <c r="A2077" s="74" t="n">
        <v>101393</v>
      </c>
      <c r="B2077" t="inlineStr">
        <is>
          <t>XANLASE S.R.L.</t>
        </is>
      </c>
    </row>
    <row r="2078">
      <c r="A2078" s="74" t="n">
        <v>101394</v>
      </c>
      <c r="B2078" t="inlineStr">
        <is>
          <t>ME VUELVE LOCO EL HELADITO S.A</t>
        </is>
      </c>
    </row>
    <row r="2079">
      <c r="A2079" s="74" t="n">
        <v>600238</v>
      </c>
      <c r="B2079" t="inlineStr">
        <is>
          <t>COMERCIAL JFG LIMITADA</t>
        </is>
      </c>
    </row>
    <row r="2080">
      <c r="A2080" s="74" t="n">
        <v>600239</v>
      </c>
      <c r="B2080" t="inlineStr">
        <is>
          <t>EXP.DE HELADOS DANIELA SOTO LA</t>
        </is>
      </c>
    </row>
    <row r="2081">
      <c r="A2081" s="74" t="n">
        <v>600240</v>
      </c>
      <c r="B2081" t="inlineStr">
        <is>
          <t>COMERCIALIZADORA MARCEL CARRER</t>
        </is>
      </c>
    </row>
    <row r="2082">
      <c r="A2082" s="74" t="n">
        <v>600241</v>
      </c>
      <c r="B2082" t="inlineStr">
        <is>
          <t>INVERSIONES GENECAST SPA</t>
        </is>
      </c>
    </row>
    <row r="2083">
      <c r="A2083" s="74" t="n">
        <v>600245</v>
      </c>
      <c r="B2083" t="inlineStr">
        <is>
          <t>COMERCIAL JOSE LUIS PEÑALOZA E</t>
        </is>
      </c>
    </row>
    <row r="2084">
      <c r="A2084" s="74" t="n">
        <v>101400</v>
      </c>
      <c r="B2084" t="inlineStr">
        <is>
          <t>MARTINEZ LISANDRO FRANCISCO</t>
        </is>
      </c>
    </row>
    <row r="2085">
      <c r="A2085" s="74" t="n">
        <v>101401</v>
      </c>
      <c r="B2085" t="inlineStr">
        <is>
          <t>PORTILLA MARCELO ANDRES</t>
        </is>
      </c>
    </row>
    <row r="2086">
      <c r="A2086" s="74" t="n">
        <v>500080</v>
      </c>
      <c r="B2086" t="inlineStr">
        <is>
          <t>CAMPOS SEJA ROSANA LORELEY</t>
        </is>
      </c>
    </row>
    <row r="2087">
      <c r="A2087" s="73" t="inlineStr">
        <is>
          <t>100738-3</t>
        </is>
      </c>
      <c r="B2087" t="inlineStr">
        <is>
          <t>LOS CELESTES S.R.L.</t>
        </is>
      </c>
    </row>
    <row r="2088">
      <c r="A2088" s="73" t="inlineStr">
        <is>
          <t>100228-1</t>
        </is>
      </c>
      <c r="B2088" t="inlineStr">
        <is>
          <t>MARTINA, DIEGO</t>
        </is>
      </c>
    </row>
    <row r="2089">
      <c r="A2089" s="73" t="inlineStr">
        <is>
          <t>100536-2</t>
        </is>
      </c>
      <c r="B2089" t="inlineStr">
        <is>
          <t>NIEVAS, NOELIA AGOSTINA</t>
        </is>
      </c>
    </row>
    <row r="2090">
      <c r="A2090" s="73" t="inlineStr">
        <is>
          <t>101209-5</t>
        </is>
      </c>
      <c r="B2090" t="inlineStr">
        <is>
          <t>ZONA HELADA S.R.L.</t>
        </is>
      </c>
    </row>
    <row r="2091">
      <c r="A2091" s="74" t="n">
        <v>600246</v>
      </c>
      <c r="B2091" t="inlineStr">
        <is>
          <t>SINERGIA INVERSIONES SPA</t>
        </is>
      </c>
    </row>
    <row r="2092">
      <c r="A2092" s="74" t="n">
        <v>101402</v>
      </c>
      <c r="B2092" t="inlineStr">
        <is>
          <t>DE ECHENAGUCIA JUAN MANUEL</t>
        </is>
      </c>
    </row>
    <row r="2093">
      <c r="A2093" s="74" t="n">
        <v>700100</v>
      </c>
      <c r="B2093" t="inlineStr">
        <is>
          <t>LIESENFELD PEDRO ARIEL</t>
        </is>
      </c>
    </row>
    <row r="2094">
      <c r="A2094" s="73" t="inlineStr">
        <is>
          <t>100331-2</t>
        </is>
      </c>
      <c r="B2094" t="inlineStr">
        <is>
          <t>VALLASCIANI, LEANDRO</t>
        </is>
      </c>
    </row>
    <row r="2095">
      <c r="A2095" s="74" t="n">
        <v>700101</v>
      </c>
      <c r="B2095" t="inlineStr">
        <is>
          <t>CORTESSI MELGAREJO MATIAS JOSE</t>
        </is>
      </c>
    </row>
    <row r="2096">
      <c r="A2096" s="74" t="n">
        <v>500081</v>
      </c>
      <c r="B2096" t="inlineStr">
        <is>
          <t>CERQUIÑO SAS</t>
        </is>
      </c>
    </row>
    <row r="2097">
      <c r="A2097" s="74" t="n">
        <v>700105</v>
      </c>
      <c r="B2097" t="inlineStr">
        <is>
          <t>FERNANDEZ BOGADO CRISTIAN DAVI</t>
        </is>
      </c>
    </row>
    <row r="2098">
      <c r="A2098" s="74" t="n">
        <v>101406</v>
      </c>
      <c r="B2098" t="inlineStr">
        <is>
          <t>CERNADAS NICOLAS IVAN FRANCISC</t>
        </is>
      </c>
    </row>
    <row r="2099">
      <c r="A2099" s="73" t="inlineStr">
        <is>
          <t>100866-3</t>
        </is>
      </c>
      <c r="B2099" t="inlineStr">
        <is>
          <t>VALDEZ, MARIA SILVANA</t>
        </is>
      </c>
    </row>
    <row r="2100">
      <c r="A2100" s="73" t="inlineStr">
        <is>
          <t>100122-3</t>
        </is>
      </c>
      <c r="B2100" t="inlineStr">
        <is>
          <t>CUADROS, BRANDAN LUCAS</t>
        </is>
      </c>
    </row>
    <row r="2101">
      <c r="A2101" s="74" t="n">
        <v>500085</v>
      </c>
      <c r="B2101" t="inlineStr">
        <is>
          <t>NUI LOA S.A.S</t>
        </is>
      </c>
    </row>
    <row r="2102">
      <c r="A2102" s="74" t="n">
        <v>101412</v>
      </c>
      <c r="B2102" t="inlineStr">
        <is>
          <t>NATALE JESSICA DAIANA</t>
        </is>
      </c>
    </row>
    <row r="2103">
      <c r="A2103" s="74" t="n">
        <v>101413</v>
      </c>
      <c r="B2103" t="inlineStr">
        <is>
          <t>JARDIN SAN LUIS S.A.S.</t>
        </is>
      </c>
    </row>
    <row r="2104">
      <c r="A2104" s="74" t="n">
        <v>101415</v>
      </c>
      <c r="B2104" t="inlineStr">
        <is>
          <t>HERRERA ECHEVERRY MARITZA</t>
        </is>
      </c>
    </row>
    <row r="2105">
      <c r="A2105" s="74" t="n">
        <v>101420</v>
      </c>
      <c r="B2105" t="inlineStr">
        <is>
          <t>ZENIQUEL CARLOS MIGUEL</t>
        </is>
      </c>
    </row>
    <row r="2106">
      <c r="A2106" s="74" t="n">
        <v>600250</v>
      </c>
      <c r="B2106" t="inlineStr">
        <is>
          <t>CASDIMA SpA</t>
        </is>
      </c>
    </row>
    <row r="2107">
      <c r="A2107" s="74" t="n">
        <v>101421</v>
      </c>
      <c r="B2107" t="inlineStr">
        <is>
          <t>CARRERA RUBEN HERNAN</t>
        </is>
      </c>
    </row>
    <row r="2108">
      <c r="A2108" s="74" t="n">
        <v>500090</v>
      </c>
      <c r="B2108" t="inlineStr">
        <is>
          <t>CABRERA D.B RODRIGO G.y D.B.LA</t>
        </is>
      </c>
    </row>
    <row r="2109">
      <c r="A2109" s="74" t="n">
        <v>600251</v>
      </c>
      <c r="B2109" t="inlineStr">
        <is>
          <t>COM. PAMELA ANDREA MOLINA VALD</t>
        </is>
      </c>
    </row>
    <row r="2110">
      <c r="A2110" s="74" t="n">
        <v>600252</v>
      </c>
      <c r="B2110" t="inlineStr">
        <is>
          <t>INVERSIONES ISABEL LOPEZ HENRI</t>
        </is>
      </c>
    </row>
    <row r="2111">
      <c r="A2111" s="73" t="inlineStr">
        <is>
          <t>100076-2</t>
        </is>
      </c>
      <c r="B2111" t="inlineStr">
        <is>
          <t>LOPEZ SERGIO RAMON</t>
        </is>
      </c>
    </row>
    <row r="2112">
      <c r="A2112" s="74" t="n">
        <v>500091</v>
      </c>
      <c r="B2112" t="inlineStr">
        <is>
          <t>NICLAU S.A.S.</t>
        </is>
      </c>
    </row>
    <row r="2113">
      <c r="A2113" s="74" t="n">
        <v>101426</v>
      </c>
      <c r="B2113" t="inlineStr">
        <is>
          <t>HELMET S.A.S. (EN FORMACION)</t>
        </is>
      </c>
    </row>
    <row r="2114">
      <c r="A2114" s="74" t="n">
        <v>101427</v>
      </c>
      <c r="B2114" t="inlineStr">
        <is>
          <t>OLIVERA GUSTAVO FABIAN</t>
        </is>
      </c>
    </row>
    <row r="2115">
      <c r="A2115" s="74" t="n">
        <v>101428</v>
      </c>
      <c r="B2115" t="inlineStr">
        <is>
          <t>MEDRANO CLEDIA BEATRIZ</t>
        </is>
      </c>
    </row>
    <row r="2116">
      <c r="A2116" s="74" t="n">
        <v>600253</v>
      </c>
      <c r="B2116" t="inlineStr">
        <is>
          <t>COMERCIALIZADORA PAOLA G.CAPOT</t>
        </is>
      </c>
    </row>
    <row r="2117">
      <c r="A2117" s="74" t="n">
        <v>600254</v>
      </c>
      <c r="B2117" t="inlineStr">
        <is>
          <t>COMERCIAL ANA ESTER BENAVIDES</t>
        </is>
      </c>
    </row>
    <row r="2118">
      <c r="A2118" s="74" t="n">
        <v>101431</v>
      </c>
      <c r="B2118" t="inlineStr">
        <is>
          <t>VILLA NOUGUES OSCAR GUIDO</t>
        </is>
      </c>
    </row>
    <row r="2119">
      <c r="A2119" s="74" t="n">
        <v>300048</v>
      </c>
      <c r="B2119" t="inlineStr">
        <is>
          <t>CONGELADOS ONLINE S.A.S</t>
        </is>
      </c>
    </row>
    <row r="2120">
      <c r="A2120" s="74" t="n">
        <v>600255</v>
      </c>
      <c r="B2120" t="inlineStr">
        <is>
          <t>GONZALEZ RAMIREZ FRANCISCA MIC</t>
        </is>
      </c>
    </row>
    <row r="2121">
      <c r="A2121" s="73" t="inlineStr">
        <is>
          <t>100688-8</t>
        </is>
      </c>
      <c r="B2121" t="inlineStr">
        <is>
          <t>DITTO S.R.L.</t>
        </is>
      </c>
    </row>
    <row r="2122">
      <c r="A2122" s="74" t="n">
        <v>600260</v>
      </c>
      <c r="B2122" t="inlineStr">
        <is>
          <t>COM. ALIMENTOS GERMAN PINTO RA</t>
        </is>
      </c>
    </row>
    <row r="2123">
      <c r="A2123" s="74" t="n">
        <v>600261</v>
      </c>
      <c r="B2123" t="inlineStr">
        <is>
          <t>COM.YAZMINA VANESA MOLINA ACEV</t>
        </is>
      </c>
    </row>
    <row r="2124">
      <c r="A2124" s="74" t="n">
        <v>101440</v>
      </c>
      <c r="B2124" t="inlineStr">
        <is>
          <t>BUFFA GASTON ANDRES</t>
        </is>
      </c>
    </row>
    <row r="2125">
      <c r="A2125" s="74" t="n">
        <v>600262</v>
      </c>
      <c r="B2125" t="inlineStr">
        <is>
          <t>COM. DE ALIMENTOS ALEJANDRO RA</t>
        </is>
      </c>
    </row>
    <row r="2126">
      <c r="A2126" s="74" t="n">
        <v>600263</v>
      </c>
      <c r="B2126" t="inlineStr">
        <is>
          <t>SERVICIOS ALIMENTICIOS CASTCOC</t>
        </is>
      </c>
    </row>
    <row r="2127">
      <c r="A2127" s="74" t="n">
        <v>600264</v>
      </c>
      <c r="B2127" t="inlineStr">
        <is>
          <t>HELADERIA CARIBAY A.CONTRERAS</t>
        </is>
      </c>
    </row>
    <row r="2128">
      <c r="A2128" s="74" t="n">
        <v>101447</v>
      </c>
      <c r="B2128" t="inlineStr">
        <is>
          <t>ETCHEPARE MARIA VALERIA</t>
        </is>
      </c>
    </row>
    <row r="2129">
      <c r="A2129" s="74" t="n">
        <v>600265</v>
      </c>
      <c r="B2129" t="inlineStr">
        <is>
          <t>COM.CASTLE GREGORIA RONDON E.I</t>
        </is>
      </c>
    </row>
    <row r="2130">
      <c r="A2130" s="74" t="n">
        <v>101452</v>
      </c>
      <c r="B2130" t="inlineStr">
        <is>
          <t>DIAZ FRANCO MIGUEL</t>
        </is>
      </c>
    </row>
    <row r="2131">
      <c r="A2131" s="74" t="n">
        <v>600266</v>
      </c>
      <c r="B2131" t="inlineStr">
        <is>
          <t>COMERCIAL OSSES SpA</t>
        </is>
      </c>
    </row>
    <row r="2132">
      <c r="A2132" s="74" t="n">
        <v>600267</v>
      </c>
      <c r="B2132" t="inlineStr">
        <is>
          <t>COM.MANUEL GOMEZ ESPINOZA E.I.</t>
        </is>
      </c>
    </row>
    <row r="2133">
      <c r="A2133" s="74" t="n">
        <v>101454</v>
      </c>
      <c r="B2133" t="inlineStr">
        <is>
          <t>CORDOBA RAMON</t>
        </is>
      </c>
    </row>
    <row r="2134">
      <c r="A2134" s="74" t="n">
        <v>600268</v>
      </c>
      <c r="B2134" t="inlineStr">
        <is>
          <t>INV.MARIA JESUS BERRIOS VALDES</t>
        </is>
      </c>
    </row>
    <row r="2135">
      <c r="A2135" s="74" t="n">
        <v>101456</v>
      </c>
      <c r="B2135" t="inlineStr">
        <is>
          <t>GALLO MARIEL CRISTINA</t>
        </is>
      </c>
    </row>
    <row r="2136">
      <c r="A2136" s="74" t="n">
        <v>101457</v>
      </c>
      <c r="B2136" t="inlineStr">
        <is>
          <t>BRITOS ERIKA YANINA</t>
        </is>
      </c>
    </row>
    <row r="2137">
      <c r="A2137" s="74" t="n">
        <v>600269</v>
      </c>
      <c r="B2137" t="inlineStr">
        <is>
          <t>INVERSIONES MG SpA</t>
        </is>
      </c>
    </row>
    <row r="2138">
      <c r="A2138" s="74" t="n">
        <v>600270</v>
      </c>
      <c r="B2138" t="inlineStr">
        <is>
          <t>INVERSIONES MELM SpA</t>
        </is>
      </c>
    </row>
    <row r="2139">
      <c r="A2139" s="74" t="n">
        <v>1000</v>
      </c>
      <c r="B2139" t="inlineStr">
        <is>
          <t>HELADOS DEL SUR S.A</t>
        </is>
      </c>
    </row>
    <row r="2140">
      <c r="A2140" s="74" t="n">
        <v>101450</v>
      </c>
      <c r="B2140" t="inlineStr">
        <is>
          <t xml:space="preserve">HELADERIA DE LAS PLAZAS S.A.S. </t>
        </is>
      </c>
    </row>
    <row r="2141">
      <c r="A2141" s="74" t="n">
        <v>101466</v>
      </c>
      <c r="B2141" t="inlineStr">
        <is>
          <t>RODRIGUEZ MARIA ALEJANDRA</t>
        </is>
      </c>
    </row>
    <row r="2142">
      <c r="A2142" s="73" t="inlineStr">
        <is>
          <t>100812-1</t>
        </is>
      </c>
      <c r="B2142" t="inlineStr">
        <is>
          <t>NEVISCA S.R.L</t>
        </is>
      </c>
    </row>
    <row r="2143">
      <c r="A2143" s="73" t="n">
        <v>100812</v>
      </c>
      <c r="B2143" t="inlineStr">
        <is>
          <t>NEVISCA S.R.L</t>
        </is>
      </c>
    </row>
    <row r="2144">
      <c r="A2144" s="74" t="n">
        <v>100785</v>
      </c>
      <c r="B2144" t="inlineStr">
        <is>
          <t>URENDA, JULIO CESAR</t>
        </is>
      </c>
    </row>
    <row r="2145">
      <c r="A2145" s="73" t="n">
        <v>2000</v>
      </c>
      <c r="B2145" t="inlineStr">
        <is>
          <t>MUNDO HELADO S.A.</t>
        </is>
      </c>
    </row>
    <row r="2146">
      <c r="A2146" s="73" t="n">
        <v>100871</v>
      </c>
      <c r="B2146" t="inlineStr">
        <is>
          <t>ALMEIDA TORRES ALFREDO MATIAS</t>
        </is>
      </c>
    </row>
    <row r="2147">
      <c r="A2147" s="73" t="n">
        <v>101423</v>
      </c>
      <c r="B2147" t="inlineStr">
        <is>
          <t>RENUEVOS S.A.S</t>
        </is>
      </c>
    </row>
    <row r="2148">
      <c r="A2148" s="73" t="n">
        <v>100891</v>
      </c>
      <c r="B2148" t="inlineStr">
        <is>
          <t>MONJES, GRACIELA DEL VALLE</t>
        </is>
      </c>
    </row>
    <row r="2149">
      <c r="A2149" s="73" t="n">
        <v>100881</v>
      </c>
      <c r="B2149" t="inlineStr">
        <is>
          <t>ZARAGOZA, YULIANA</t>
        </is>
      </c>
    </row>
    <row r="2150">
      <c r="A2150" s="73" t="n">
        <v>252</v>
      </c>
      <c r="B2150" t="inlineStr">
        <is>
          <t>DI VICO, JOSE LUIS</t>
        </is>
      </c>
    </row>
    <row r="2151">
      <c r="A2151" s="73" t="n">
        <v>100892</v>
      </c>
      <c r="B2151" t="inlineStr">
        <is>
          <t>SALINAS, SANDRA EDTIH</t>
        </is>
      </c>
    </row>
    <row r="2152">
      <c r="A2152" s="73" t="n">
        <v>254</v>
      </c>
      <c r="B2152" t="inlineStr">
        <is>
          <t>SANCHEZ, SUSANA</t>
        </is>
      </c>
    </row>
    <row r="2153">
      <c r="A2153" s="73" t="n">
        <v>100856</v>
      </c>
      <c r="B2153" t="inlineStr">
        <is>
          <t>ROJAS, RAUL LEONCIO</t>
        </is>
      </c>
    </row>
    <row r="2154">
      <c r="A2154" s="73" t="inlineStr">
        <is>
          <t>147-1</t>
        </is>
      </c>
      <c r="B2154" t="inlineStr">
        <is>
          <t>LECUONA, DIEGO ROBERTO</t>
        </is>
      </c>
    </row>
    <row r="2155">
      <c r="A2155" s="73" t="n">
        <v>101202</v>
      </c>
      <c r="B2155" t="inlineStr">
        <is>
          <t>LOZANO MARIA ADELAIDA</t>
        </is>
      </c>
    </row>
    <row r="2156">
      <c r="A2156" s="73" t="n">
        <v>100947</v>
      </c>
      <c r="B2156" t="inlineStr">
        <is>
          <t>UMAÑO, PAOLA LORENA</t>
        </is>
      </c>
    </row>
    <row r="2157">
      <c r="A2157" s="73" t="n">
        <v>100894</v>
      </c>
      <c r="B2157" t="inlineStr">
        <is>
          <t>LUDUEÑA, NANCY EDITH</t>
        </is>
      </c>
    </row>
    <row r="2158">
      <c r="A2158" s="73" t="n">
        <v>100876</v>
      </c>
      <c r="B2158" t="inlineStr">
        <is>
          <t>GARCIA, ADRIAN</t>
        </is>
      </c>
    </row>
    <row r="2159">
      <c r="A2159" s="73" t="n">
        <v>100785</v>
      </c>
      <c r="B2159" t="inlineStr">
        <is>
          <t>URENDA, JULIO CESAR</t>
        </is>
      </c>
    </row>
    <row r="2160">
      <c r="A2160" s="73" t="n">
        <v>100882</v>
      </c>
      <c r="B2160" t="inlineStr">
        <is>
          <t>PRESTI NOELIA VANESA</t>
        </is>
      </c>
    </row>
    <row r="2161">
      <c r="A2161" s="73" t="n">
        <v>100870</v>
      </c>
      <c r="B2161" t="inlineStr">
        <is>
          <t>ORDOÑEZ, JUAN FERNANDO</t>
        </is>
      </c>
    </row>
    <row r="2162">
      <c r="A2162" s="73" t="n">
        <v>100948</v>
      </c>
      <c r="B2162" t="inlineStr">
        <is>
          <t>SALORT, FERNANDO CESAR</t>
        </is>
      </c>
    </row>
    <row r="2163">
      <c r="A2163" s="73" t="n">
        <v>101326</v>
      </c>
      <c r="B2163" t="inlineStr">
        <is>
          <t>PAREDESYPAREDES S.A.S.</t>
        </is>
      </c>
    </row>
    <row r="2164">
      <c r="A2164" s="73" t="inlineStr">
        <is>
          <t>101192-1</t>
        </is>
      </c>
      <c r="B2164" t="inlineStr">
        <is>
          <t>LAURICELLA JULIO CESAR</t>
        </is>
      </c>
    </row>
    <row r="2165">
      <c r="A2165" s="73" t="n">
        <v>100885</v>
      </c>
      <c r="B2165" t="inlineStr">
        <is>
          <t>GAUDIÑO, MAIDA MARIBEL</t>
        </is>
      </c>
    </row>
    <row r="2166">
      <c r="A2166" s="73" t="inlineStr">
        <is>
          <t>100856-1</t>
        </is>
      </c>
      <c r="B2166" t="inlineStr">
        <is>
          <t>ROJAS, RAUL LEONCIO</t>
        </is>
      </c>
    </row>
    <row r="2167">
      <c r="A2167" s="73" t="n">
        <v>100886</v>
      </c>
      <c r="B2167" t="inlineStr">
        <is>
          <t>VILLARREAL, PAOLA ELIZABETH</t>
        </is>
      </c>
    </row>
    <row r="2168">
      <c r="A2168" s="73" t="n">
        <v>1343</v>
      </c>
      <c r="B2168" t="inlineStr">
        <is>
          <t>LUNA, MARIA LOURDES</t>
        </is>
      </c>
    </row>
    <row r="2169">
      <c r="A2169" s="73" t="n">
        <v>100865</v>
      </c>
      <c r="B2169" t="inlineStr">
        <is>
          <t>LOPEZ, MONICA ESTELA</t>
        </is>
      </c>
    </row>
    <row r="2170">
      <c r="A2170" s="73" t="n">
        <v>543</v>
      </c>
      <c r="B2170" t="inlineStr">
        <is>
          <t>DI FIORE, VERÓNICA NOEMÍ SARA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13">
    <outlinePr summaryBelow="1" summaryRight="1"/>
    <pageSetUpPr/>
  </sheetPr>
  <dimension ref="A1:K591"/>
  <sheetViews>
    <sheetView topLeftCell="A610" workbookViewId="0">
      <selection activeCell="D481" sqref="D481:D496"/>
    </sheetView>
  </sheetViews>
  <sheetFormatPr baseColWidth="10" defaultColWidth="11.5" defaultRowHeight="15"/>
  <cols>
    <col width="39.5" customWidth="1" min="1" max="1"/>
    <col width="43.5" bestFit="1" customWidth="1" min="3" max="3"/>
  </cols>
  <sheetData>
    <row r="1">
      <c r="A1" t="inlineStr">
        <is>
          <t>Codigo</t>
        </is>
      </c>
      <c r="B1" t="inlineStr">
        <is>
          <t>Deposito</t>
        </is>
      </c>
      <c r="C1" t="inlineStr">
        <is>
          <t>Descripcion</t>
        </is>
      </c>
      <c r="D1" t="inlineStr">
        <is>
          <t>Cubicaje</t>
        </is>
      </c>
      <c r="E1" t="inlineStr">
        <is>
          <t>Peso</t>
        </is>
      </c>
      <c r="F1" t="inlineStr">
        <is>
          <t>impuestoIva</t>
        </is>
      </c>
      <c r="G1" t="inlineStr">
        <is>
          <t>precio</t>
        </is>
      </c>
    </row>
    <row r="2">
      <c r="A2" t="n">
        <v>4000050</v>
      </c>
      <c r="B2" t="inlineStr">
        <is>
          <t>1000;1004</t>
        </is>
      </c>
      <c r="C2" t="inlineStr">
        <is>
          <t>SUPER GRIDITO 7,800 KG GRIDO</t>
        </is>
      </c>
      <c r="D2" s="22" t="n">
        <v>0.8</v>
      </c>
      <c r="E2" t="n">
        <v>7.8</v>
      </c>
      <c r="F2" t="n">
        <v>0</v>
      </c>
      <c r="G2" t="n">
        <v>4998.53</v>
      </c>
      <c r="H2" t="n">
        <v>100</v>
      </c>
      <c r="I2" t="n">
        <v>110</v>
      </c>
      <c r="J2" s="22">
        <f>H2*D2/I2</f>
        <v/>
      </c>
    </row>
    <row r="3">
      <c r="A3" t="n">
        <v>4000044</v>
      </c>
      <c r="B3" t="inlineStr">
        <is>
          <t>1000;1004</t>
        </is>
      </c>
      <c r="C3" t="inlineStr">
        <is>
          <t>VAINILLA 7,800 KG GRIDO</t>
        </is>
      </c>
      <c r="D3" s="22" t="n">
        <v>0.8</v>
      </c>
      <c r="E3" t="n">
        <v>7.8</v>
      </c>
      <c r="F3" t="n">
        <v>0</v>
      </c>
      <c r="G3" t="n">
        <v>4998.53</v>
      </c>
      <c r="H3" t="n">
        <v>100</v>
      </c>
      <c r="I3" t="n">
        <v>110</v>
      </c>
      <c r="J3" s="22">
        <f>H3*D3/I3</f>
        <v/>
      </c>
    </row>
    <row r="4">
      <c r="A4" t="n">
        <v>4000036</v>
      </c>
      <c r="B4" t="inlineStr">
        <is>
          <t>1000;1004</t>
        </is>
      </c>
      <c r="C4" t="inlineStr">
        <is>
          <t>LIMON AL AGUA 7,800 KG GRIDO</t>
        </is>
      </c>
      <c r="D4" s="22" t="n">
        <v>0.8</v>
      </c>
      <c r="E4" t="n">
        <v>7.8</v>
      </c>
      <c r="F4" t="n">
        <v>0</v>
      </c>
      <c r="G4" t="n">
        <v>2706.22</v>
      </c>
      <c r="H4" t="n">
        <v>100</v>
      </c>
      <c r="I4" t="n">
        <v>110</v>
      </c>
      <c r="J4" s="22">
        <f>H4*D4/I4</f>
        <v/>
      </c>
    </row>
    <row r="5">
      <c r="A5" t="n">
        <v>4000042</v>
      </c>
      <c r="B5" t="inlineStr">
        <is>
          <t>1000;1004</t>
        </is>
      </c>
      <c r="C5" t="inlineStr">
        <is>
          <t>FRUTILLA A LA CREMA 7,800KG GRIDO</t>
        </is>
      </c>
      <c r="D5" s="22" t="n">
        <v>0.8</v>
      </c>
      <c r="E5" t="n">
        <v>7.8</v>
      </c>
      <c r="F5" t="n">
        <v>0</v>
      </c>
      <c r="G5" t="n">
        <v>4998.53</v>
      </c>
      <c r="H5" t="n">
        <v>100</v>
      </c>
      <c r="I5" t="n">
        <v>110</v>
      </c>
      <c r="J5" s="22">
        <f>H5*D5/I5</f>
        <v/>
      </c>
    </row>
    <row r="6">
      <c r="A6" t="n">
        <v>4000056</v>
      </c>
      <c r="B6" t="inlineStr">
        <is>
          <t>1000;1004</t>
        </is>
      </c>
      <c r="C6" t="inlineStr">
        <is>
          <t>KINOTOS AL WHISKY 7,800 KG GRIDO</t>
        </is>
      </c>
      <c r="D6" s="22" t="n">
        <v>0.8</v>
      </c>
      <c r="E6" t="n">
        <v>7.8</v>
      </c>
      <c r="F6" t="n">
        <v>0</v>
      </c>
      <c r="G6" t="n">
        <v>5461.98</v>
      </c>
      <c r="H6" t="n">
        <v>100</v>
      </c>
      <c r="I6" t="n">
        <v>110</v>
      </c>
      <c r="J6" s="22">
        <f>H6*D6/I6</f>
        <v/>
      </c>
    </row>
    <row r="7">
      <c r="A7" t="n">
        <v>4000043</v>
      </c>
      <c r="B7" t="inlineStr">
        <is>
          <t>1000;1004</t>
        </is>
      </c>
      <c r="C7" t="inlineStr">
        <is>
          <t>CHOCOLATE 7,800 KG GRIDO</t>
        </is>
      </c>
      <c r="D7" s="22" t="n">
        <v>0.8</v>
      </c>
      <c r="E7" t="n">
        <v>7.8</v>
      </c>
      <c r="F7" t="n">
        <v>0</v>
      </c>
      <c r="G7" t="n">
        <v>4998.53</v>
      </c>
      <c r="H7" t="n">
        <v>100</v>
      </c>
      <c r="I7" t="n">
        <v>110</v>
      </c>
      <c r="J7" s="22">
        <f>H7*D7/I7</f>
        <v/>
      </c>
    </row>
    <row r="8">
      <c r="A8" t="n">
        <v>4000061</v>
      </c>
      <c r="B8" t="inlineStr">
        <is>
          <t>1000;1004</t>
        </is>
      </c>
      <c r="C8" t="inlineStr">
        <is>
          <t>CHOCOLATE MANI CRUNCH 7,800 KG GRIDO</t>
        </is>
      </c>
      <c r="D8" s="22" t="n">
        <v>0.8</v>
      </c>
      <c r="E8" t="n">
        <v>7.8</v>
      </c>
      <c r="F8" t="n">
        <v>0</v>
      </c>
      <c r="G8" t="n">
        <v>5461.98</v>
      </c>
      <c r="H8" t="n">
        <v>100</v>
      </c>
      <c r="I8" t="n">
        <v>110</v>
      </c>
      <c r="J8" s="22">
        <f>H8*D8/I8</f>
        <v/>
      </c>
    </row>
    <row r="9">
      <c r="A9" t="n">
        <v>4000068</v>
      </c>
      <c r="B9" t="inlineStr">
        <is>
          <t>1000;1004</t>
        </is>
      </c>
      <c r="C9" t="inlineStr">
        <is>
          <t>DULCE LECHE C/NUEZ 7,800 KG GRIDO</t>
        </is>
      </c>
      <c r="D9" s="22" t="n">
        <v>0.8</v>
      </c>
      <c r="E9" t="n">
        <v>7.8</v>
      </c>
      <c r="F9" t="n">
        <v>0</v>
      </c>
      <c r="G9" t="n">
        <v>6079.84</v>
      </c>
      <c r="H9" t="n">
        <v>100</v>
      </c>
      <c r="I9" t="n">
        <v>110</v>
      </c>
      <c r="J9" s="22">
        <f>H9*D9/I9</f>
        <v/>
      </c>
    </row>
    <row r="10">
      <c r="A10" t="n">
        <v>4000045</v>
      </c>
      <c r="B10" t="inlineStr">
        <is>
          <t>1000;1004</t>
        </is>
      </c>
      <c r="C10" t="inlineStr">
        <is>
          <t>CREMA AMERICANA 7,800 KG GRIDO</t>
        </is>
      </c>
      <c r="D10" s="22" t="n">
        <v>0.8</v>
      </c>
      <c r="E10" t="n">
        <v>7.8</v>
      </c>
      <c r="F10" t="n">
        <v>0</v>
      </c>
      <c r="G10" t="n">
        <v>4998.53</v>
      </c>
      <c r="H10" t="n">
        <v>100</v>
      </c>
      <c r="I10" t="n">
        <v>110</v>
      </c>
      <c r="J10" s="22">
        <f>H10*D10/I10</f>
        <v/>
      </c>
    </row>
    <row r="11">
      <c r="A11" t="n">
        <v>4000047</v>
      </c>
      <c r="B11" t="inlineStr">
        <is>
          <t>1000;1004</t>
        </is>
      </c>
      <c r="C11" t="inlineStr">
        <is>
          <t>FLAN 7,800 KG GRIDO</t>
        </is>
      </c>
      <c r="D11" s="22" t="n">
        <v>0.8</v>
      </c>
      <c r="E11" t="n">
        <v>7.8</v>
      </c>
      <c r="F11" t="n">
        <v>0</v>
      </c>
      <c r="G11" t="n">
        <v>4998.53</v>
      </c>
      <c r="H11" t="n">
        <v>100</v>
      </c>
      <c r="I11" t="n">
        <v>110</v>
      </c>
      <c r="J11" s="22">
        <f>H11*D11/I11</f>
        <v/>
      </c>
    </row>
    <row r="12">
      <c r="A12" t="n">
        <v>4000048</v>
      </c>
      <c r="B12" t="inlineStr">
        <is>
          <t>1000;1004</t>
        </is>
      </c>
      <c r="C12" t="inlineStr">
        <is>
          <t>BANANA C/DULC LECHE 7,800 KG GRIDO</t>
        </is>
      </c>
      <c r="D12" s="22" t="n">
        <v>0.8</v>
      </c>
      <c r="E12" t="n">
        <v>7.8</v>
      </c>
      <c r="F12" t="n">
        <v>0</v>
      </c>
      <c r="G12" t="n">
        <v>4998.53</v>
      </c>
      <c r="H12" t="n">
        <v>100</v>
      </c>
      <c r="I12" t="n">
        <v>110</v>
      </c>
      <c r="J12" s="22">
        <f>H12*D12/I12</f>
        <v/>
      </c>
    </row>
    <row r="13">
      <c r="A13" t="n">
        <v>4000049</v>
      </c>
      <c r="B13" t="inlineStr">
        <is>
          <t>1000;1004</t>
        </is>
      </c>
      <c r="C13" t="inlineStr">
        <is>
          <t>MENTA GRANIZADA 7,800 KG GRIDO</t>
        </is>
      </c>
      <c r="D13" s="22" t="n">
        <v>0.8</v>
      </c>
      <c r="E13" t="n">
        <v>7.8</v>
      </c>
      <c r="F13" t="n">
        <v>0</v>
      </c>
      <c r="G13" t="n">
        <v>4998.53</v>
      </c>
      <c r="H13" t="n">
        <v>100</v>
      </c>
      <c r="I13" t="n">
        <v>110</v>
      </c>
      <c r="J13" s="22">
        <f>H13*D13/I13</f>
        <v/>
      </c>
    </row>
    <row r="14">
      <c r="A14" t="n">
        <v>4000055</v>
      </c>
      <c r="B14" t="inlineStr">
        <is>
          <t>1000;1004</t>
        </is>
      </c>
      <c r="C14" t="inlineStr">
        <is>
          <t>TRAMONTANA 7,800 KG GRIDO</t>
        </is>
      </c>
      <c r="D14" s="22" t="n">
        <v>0.8</v>
      </c>
      <c r="E14" t="n">
        <v>7.8</v>
      </c>
      <c r="F14" t="n">
        <v>0</v>
      </c>
      <c r="G14" t="n">
        <v>5461.98</v>
      </c>
      <c r="H14" t="n">
        <v>100</v>
      </c>
      <c r="I14" t="n">
        <v>110</v>
      </c>
      <c r="J14" s="22">
        <f>H14*D14/I14</f>
        <v/>
      </c>
    </row>
    <row r="15">
      <c r="A15" t="n">
        <v>4000057</v>
      </c>
      <c r="B15" t="inlineStr">
        <is>
          <t>1000;1004</t>
        </is>
      </c>
      <c r="C15" t="inlineStr">
        <is>
          <t>CHOCOLATE SUIZO 7,800 KG GRIDO</t>
        </is>
      </c>
      <c r="D15" s="22" t="n">
        <v>0.8</v>
      </c>
      <c r="E15" t="n">
        <v>7.8</v>
      </c>
      <c r="F15" t="n">
        <v>0</v>
      </c>
      <c r="G15" t="n">
        <v>5461.98</v>
      </c>
      <c r="H15" t="n">
        <v>100</v>
      </c>
      <c r="I15" t="n">
        <v>110</v>
      </c>
      <c r="J15" s="22">
        <f>H15*D15/I15</f>
        <v/>
      </c>
    </row>
    <row r="16">
      <c r="A16" t="n">
        <v>4000143</v>
      </c>
      <c r="B16" t="inlineStr">
        <is>
          <t>1000;1004</t>
        </is>
      </c>
      <c r="C16" t="inlineStr">
        <is>
          <t>PACK 6 CAJAS ALMENDRADO X 8 - GRIDO</t>
        </is>
      </c>
      <c r="D16" s="22" t="n">
        <v>0.77</v>
      </c>
      <c r="E16" t="n">
        <v>4.03</v>
      </c>
      <c r="F16" t="n">
        <v>0</v>
      </c>
      <c r="G16" t="n">
        <v>3820.41</v>
      </c>
      <c r="H16" t="n">
        <v>100</v>
      </c>
      <c r="I16" t="n">
        <v>110</v>
      </c>
      <c r="J16" s="22">
        <f>H16*D16/I16</f>
        <v/>
      </c>
    </row>
    <row r="17">
      <c r="A17" t="n">
        <v>4000066</v>
      </c>
      <c r="B17" t="inlineStr">
        <is>
          <t>1000;1004</t>
        </is>
      </c>
      <c r="C17" t="inlineStr">
        <is>
          <t>CREMA RUSA 7,800 KG GRIDO</t>
        </is>
      </c>
      <c r="D17" s="22" t="n">
        <v>0.8</v>
      </c>
      <c r="E17" t="n">
        <v>7.8</v>
      </c>
      <c r="F17" t="n">
        <v>0</v>
      </c>
      <c r="G17" t="n">
        <v>6079.84</v>
      </c>
      <c r="H17" t="n">
        <v>100</v>
      </c>
      <c r="I17" t="n">
        <v>110</v>
      </c>
      <c r="J17" s="22">
        <f>H17*D17/I17</f>
        <v/>
      </c>
    </row>
    <row r="18">
      <c r="A18" t="n">
        <v>4000054</v>
      </c>
      <c r="B18" t="inlineStr">
        <is>
          <t>1000;1004</t>
        </is>
      </c>
      <c r="C18" t="inlineStr">
        <is>
          <t>MARROC 7,800 KG GRIDO</t>
        </is>
      </c>
      <c r="D18" s="22" t="n">
        <v>0.8</v>
      </c>
      <c r="E18" t="n">
        <v>7.8</v>
      </c>
      <c r="F18" t="n">
        <v>0</v>
      </c>
      <c r="G18" t="n">
        <v>5461.98</v>
      </c>
      <c r="H18" t="n">
        <v>100</v>
      </c>
      <c r="I18" t="n">
        <v>110</v>
      </c>
      <c r="J18" s="22">
        <f>H18*D18/I18</f>
        <v/>
      </c>
    </row>
    <row r="19">
      <c r="A19" t="n">
        <v>4000070</v>
      </c>
      <c r="B19" t="inlineStr">
        <is>
          <t>1000;1004</t>
        </is>
      </c>
      <c r="C19" t="inlineStr">
        <is>
          <t>CEREZA 7,800 KG - GRIDO</t>
        </is>
      </c>
      <c r="D19" s="22" t="n">
        <v>0.8</v>
      </c>
      <c r="E19" t="n">
        <v>7.8</v>
      </c>
      <c r="F19" t="n">
        <v>0</v>
      </c>
      <c r="G19" t="n">
        <v>5461.98</v>
      </c>
      <c r="H19" t="n">
        <v>100</v>
      </c>
      <c r="I19" t="n">
        <v>110</v>
      </c>
      <c r="J19" s="22">
        <f>H19*D19/I19</f>
        <v/>
      </c>
    </row>
    <row r="20">
      <c r="A20" t="n">
        <v>4000147</v>
      </c>
      <c r="B20" t="inlineStr">
        <is>
          <t>1000;1004</t>
        </is>
      </c>
      <c r="C20" t="inlineStr">
        <is>
          <t>PACK 6 CAJAS BOMBON ESCOCES X8 - GRIDO</t>
        </is>
      </c>
      <c r="D20" s="22" t="n">
        <v>0.77</v>
      </c>
      <c r="E20" t="n">
        <v>4.32</v>
      </c>
      <c r="F20" t="n">
        <v>0</v>
      </c>
      <c r="G20" t="n">
        <v>4744.85</v>
      </c>
      <c r="H20" t="n">
        <v>100</v>
      </c>
      <c r="I20" t="n">
        <v>110</v>
      </c>
      <c r="J20" s="22">
        <f>H20*D20/I20</f>
        <v/>
      </c>
    </row>
    <row r="21">
      <c r="A21" t="n">
        <v>4000059</v>
      </c>
      <c r="B21" t="inlineStr">
        <is>
          <t>1000;1004</t>
        </is>
      </c>
      <c r="C21" t="inlineStr">
        <is>
          <t>CHOCOLATE BLANCO 7,800 KG GRIDO</t>
        </is>
      </c>
      <c r="D21" s="22" t="n">
        <v>0.8</v>
      </c>
      <c r="E21" t="n">
        <v>7.8</v>
      </c>
      <c r="F21" t="n">
        <v>0</v>
      </c>
      <c r="G21" t="n">
        <v>5461.98</v>
      </c>
      <c r="H21" t="n">
        <v>100</v>
      </c>
      <c r="I21" t="n">
        <v>110</v>
      </c>
      <c r="J21" s="22">
        <f>H21*D21/I21</f>
        <v/>
      </c>
    </row>
    <row r="22">
      <c r="A22" t="n">
        <v>4000148</v>
      </c>
      <c r="B22" t="inlineStr">
        <is>
          <t>1000;1004</t>
        </is>
      </c>
      <c r="C22" t="inlineStr">
        <is>
          <t>PACK 6 CAJAS BOMBON VAINILLA SPLIT X 8</t>
        </is>
      </c>
      <c r="D22" s="22" t="n">
        <v>0.5827272727272726</v>
      </c>
      <c r="E22" t="n">
        <v>3.22</v>
      </c>
      <c r="F22" t="n">
        <v>0</v>
      </c>
      <c r="G22" t="n">
        <v>3740</v>
      </c>
      <c r="H22" t="n">
        <v>100</v>
      </c>
      <c r="I22" t="n">
        <v>110</v>
      </c>
      <c r="J22" s="22">
        <f>H22*D22/I22</f>
        <v/>
      </c>
    </row>
    <row r="23">
      <c r="A23" t="n">
        <v>4000058</v>
      </c>
      <c r="B23" t="inlineStr">
        <is>
          <t>1000;1004</t>
        </is>
      </c>
      <c r="C23" t="inlineStr">
        <is>
          <t>MASCAR.C/FRUTOS BOSQ 7,800KG GRIDO</t>
        </is>
      </c>
      <c r="D23" s="22" t="n">
        <v>0.8</v>
      </c>
      <c r="E23" t="n">
        <v>7.8</v>
      </c>
      <c r="F23" t="n">
        <v>0</v>
      </c>
      <c r="G23" t="n">
        <v>5461.98</v>
      </c>
      <c r="H23" t="n">
        <v>100</v>
      </c>
      <c r="I23" t="n">
        <v>110</v>
      </c>
      <c r="J23" s="22">
        <f>H23*D23/I23</f>
        <v/>
      </c>
    </row>
    <row r="24">
      <c r="A24" t="n">
        <v>4000051</v>
      </c>
      <c r="B24" t="inlineStr">
        <is>
          <t>1000;1004</t>
        </is>
      </c>
      <c r="C24" t="inlineStr">
        <is>
          <t>CREMA COOKIE 7,800 KG GRIDO</t>
        </is>
      </c>
      <c r="D24" s="22" t="n">
        <v>0.8</v>
      </c>
      <c r="E24" t="n">
        <v>7.8</v>
      </c>
      <c r="F24" t="n">
        <v>0</v>
      </c>
      <c r="G24" t="n">
        <v>4998.53</v>
      </c>
      <c r="H24" t="n">
        <v>100</v>
      </c>
      <c r="I24" t="n">
        <v>110</v>
      </c>
      <c r="J24" s="22">
        <f>H24*D24/I24</f>
        <v/>
      </c>
    </row>
    <row r="25">
      <c r="A25" t="n">
        <v>4000065</v>
      </c>
      <c r="B25" t="inlineStr">
        <is>
          <t>1000;1004</t>
        </is>
      </c>
      <c r="C25" t="inlineStr">
        <is>
          <t>SAMBAYON 7,800 KG GRIDO</t>
        </is>
      </c>
      <c r="D25" s="22" t="n">
        <v>0.8</v>
      </c>
      <c r="E25" t="n">
        <v>7.8</v>
      </c>
      <c r="F25" t="n">
        <v>0</v>
      </c>
      <c r="G25" t="n">
        <v>6079.84</v>
      </c>
      <c r="H25" t="n">
        <v>100</v>
      </c>
      <c r="I25" t="n">
        <v>110</v>
      </c>
      <c r="J25" s="22">
        <f>H25*D25/I25</f>
        <v/>
      </c>
    </row>
    <row r="26">
      <c r="A26" t="n">
        <v>4000137</v>
      </c>
      <c r="B26" t="inlineStr">
        <is>
          <t>1000;1004</t>
        </is>
      </c>
      <c r="C26" t="inlineStr">
        <is>
          <t>PACK 4 CAJAS GRIDO CREMOSO DE FRUTILLA</t>
        </is>
      </c>
      <c r="D26" s="22" t="n">
        <v>0.82</v>
      </c>
      <c r="E26" t="n">
        <v>3.2</v>
      </c>
      <c r="F26" t="n">
        <v>0</v>
      </c>
      <c r="G26" t="n">
        <v>3616.48</v>
      </c>
      <c r="H26" t="n">
        <v>100</v>
      </c>
      <c r="I26" t="n">
        <v>110</v>
      </c>
      <c r="J26" s="22">
        <f>H26*D26/I26</f>
        <v/>
      </c>
    </row>
    <row r="27">
      <c r="A27" t="n">
        <v>4000136</v>
      </c>
      <c r="B27" t="inlineStr">
        <is>
          <t>1000;1004</t>
        </is>
      </c>
      <c r="C27" t="inlineStr">
        <is>
          <t>PACK 4 CAJGRIDO CREM DE CREMA AMERICANA</t>
        </is>
      </c>
      <c r="D27" s="22" t="n">
        <v>0.82</v>
      </c>
      <c r="E27" t="n">
        <v>3.2</v>
      </c>
      <c r="F27" t="n">
        <v>0</v>
      </c>
      <c r="G27" t="n">
        <v>3616.48</v>
      </c>
      <c r="H27" t="n">
        <v>100</v>
      </c>
      <c r="I27" t="n">
        <v>110</v>
      </c>
      <c r="J27" s="22">
        <f>H27*D27/I27</f>
        <v/>
      </c>
    </row>
    <row r="28">
      <c r="A28" t="n">
        <v>4000064</v>
      </c>
      <c r="B28" t="inlineStr">
        <is>
          <t>1000;1004</t>
        </is>
      </c>
      <c r="C28" t="inlineStr">
        <is>
          <t>SUPER DULCE DE LECHE 7,800 KG GRIDO</t>
        </is>
      </c>
      <c r="D28" s="22" t="n">
        <v>0.8</v>
      </c>
      <c r="E28" t="n">
        <v>7.8</v>
      </c>
      <c r="F28" t="n">
        <v>0</v>
      </c>
      <c r="G28" t="n">
        <v>5461.98</v>
      </c>
      <c r="H28" t="n">
        <v>100</v>
      </c>
      <c r="I28" t="n">
        <v>110</v>
      </c>
      <c r="J28" s="22">
        <f>H28*D28/I28</f>
        <v/>
      </c>
    </row>
    <row r="29">
      <c r="A29" t="n">
        <v>4000155</v>
      </c>
      <c r="B29" t="inlineStr">
        <is>
          <t>1000;1004</t>
        </is>
      </c>
      <c r="C29" t="inlineStr">
        <is>
          <t>PACKX 6 POTE X1LT CHOC C/ALMENDRAS GRIDO</t>
        </is>
      </c>
      <c r="D29" s="22" t="n">
        <v>0.5054545454545455</v>
      </c>
      <c r="E29" t="n">
        <v>4.14</v>
      </c>
      <c r="F29" t="n">
        <v>0</v>
      </c>
      <c r="G29" t="n">
        <v>3118.5</v>
      </c>
      <c r="H29" t="n">
        <v>100</v>
      </c>
      <c r="I29" t="n">
        <v>110</v>
      </c>
      <c r="J29" s="22">
        <f>H29*D29/I29</f>
        <v/>
      </c>
    </row>
    <row r="30">
      <c r="A30" t="n">
        <v>4000140</v>
      </c>
      <c r="B30" t="inlineStr">
        <is>
          <t>1000;1004</t>
        </is>
      </c>
      <c r="C30" t="inlineStr">
        <is>
          <t>PACK 4 CAJAS PALITO BOMBON X20 - GRIDO</t>
        </is>
      </c>
      <c r="D30" s="22" t="n">
        <v>0.82</v>
      </c>
      <c r="E30" t="n">
        <v>4</v>
      </c>
      <c r="F30" t="n">
        <v>0</v>
      </c>
      <c r="G30" t="n">
        <v>4698.12</v>
      </c>
      <c r="H30" t="n">
        <v>100</v>
      </c>
      <c r="I30" t="n">
        <v>110</v>
      </c>
      <c r="J30" s="22">
        <f>H30*D30/I30</f>
        <v/>
      </c>
    </row>
    <row r="31">
      <c r="A31" t="n">
        <v>4000071</v>
      </c>
      <c r="B31" t="inlineStr">
        <is>
          <t>1000;1004</t>
        </is>
      </c>
      <c r="C31" t="inlineStr">
        <is>
          <t>TIRAMISU 7,800 KG GRIDO</t>
        </is>
      </c>
      <c r="D31" s="22" t="n">
        <v>0.8</v>
      </c>
      <c r="E31" t="n">
        <v>7.8</v>
      </c>
      <c r="F31" t="n">
        <v>0</v>
      </c>
      <c r="G31" t="n">
        <v>6079.84</v>
      </c>
      <c r="H31" t="n">
        <v>100</v>
      </c>
      <c r="I31" t="n">
        <v>110</v>
      </c>
      <c r="J31" s="22">
        <f>H31*D31/I31</f>
        <v/>
      </c>
    </row>
    <row r="32">
      <c r="A32" t="n">
        <v>4000158</v>
      </c>
      <c r="B32" t="inlineStr">
        <is>
          <t>1000;1004</t>
        </is>
      </c>
      <c r="C32" t="inlineStr">
        <is>
          <t>PACK X 6 POTE X 1 LT CHOCOLATE GRIDO</t>
        </is>
      </c>
      <c r="D32" s="22" t="n">
        <v>0.5054545454545455</v>
      </c>
      <c r="E32" t="n">
        <v>4.14</v>
      </c>
      <c r="F32" t="n">
        <v>0</v>
      </c>
      <c r="G32" t="n">
        <v>3118.5</v>
      </c>
      <c r="H32" t="n">
        <v>100</v>
      </c>
      <c r="I32" t="n">
        <v>110</v>
      </c>
      <c r="J32" s="22">
        <f>H32*D32/I32</f>
        <v/>
      </c>
    </row>
    <row r="33">
      <c r="A33" t="n">
        <v>4000142</v>
      </c>
      <c r="B33" t="inlineStr">
        <is>
          <t>1000;1004</t>
        </is>
      </c>
      <c r="C33" t="inlineStr">
        <is>
          <t>PACK 6 CAJAS CASSATA X 8 GRIDO</t>
        </is>
      </c>
      <c r="D33" s="22" t="n">
        <v>0.77</v>
      </c>
      <c r="E33" t="n">
        <v>3.6</v>
      </c>
      <c r="F33" t="n">
        <v>0</v>
      </c>
      <c r="G33" t="n">
        <v>3383.6</v>
      </c>
      <c r="H33" t="n">
        <v>100</v>
      </c>
      <c r="I33" t="n">
        <v>110</v>
      </c>
      <c r="J33" s="22">
        <f>H33*D33/I33</f>
        <v/>
      </c>
    </row>
    <row r="34">
      <c r="A34" t="n">
        <v>4000146</v>
      </c>
      <c r="B34" t="inlineStr">
        <is>
          <t>1000;1004</t>
        </is>
      </c>
      <c r="C34" t="inlineStr">
        <is>
          <t>PACK 6 CAJAS BOMBON SUIZO X8 - GRIDO</t>
        </is>
      </c>
      <c r="D34" s="22" t="n">
        <v>0.77</v>
      </c>
      <c r="E34" t="n">
        <v>4.22</v>
      </c>
      <c r="F34" t="n">
        <v>0</v>
      </c>
      <c r="G34" t="n">
        <v>4343.28</v>
      </c>
      <c r="H34" t="n">
        <v>100</v>
      </c>
      <c r="I34" t="n">
        <v>110</v>
      </c>
      <c r="J34" s="22">
        <f>H34*D34/I34</f>
        <v/>
      </c>
    </row>
    <row r="35">
      <c r="A35" t="n">
        <v>4000166</v>
      </c>
      <c r="B35" t="inlineStr">
        <is>
          <t>1000;1004</t>
        </is>
      </c>
      <c r="C35" t="inlineStr">
        <is>
          <t>PACKX 6 GRIDO FAMILIAR X3 LTS N4  GRIDO</t>
        </is>
      </c>
      <c r="D35" s="22" t="n">
        <v>1.09</v>
      </c>
      <c r="E35" t="n">
        <v>9.6</v>
      </c>
      <c r="F35" t="n">
        <v>0</v>
      </c>
      <c r="G35" t="n">
        <v>7874.27</v>
      </c>
      <c r="H35" t="n">
        <v>100</v>
      </c>
      <c r="I35" t="n">
        <v>110</v>
      </c>
      <c r="J35" s="22">
        <f>H35*D35/I35</f>
        <v/>
      </c>
    </row>
    <row r="36">
      <c r="A36" t="n">
        <v>4000062</v>
      </c>
      <c r="B36" t="inlineStr">
        <is>
          <t>1000;1004</t>
        </is>
      </c>
      <c r="C36" t="inlineStr">
        <is>
          <t>ANANA A LA CREMA 7,800 KG GRIDO</t>
        </is>
      </c>
      <c r="D36" s="22" t="n">
        <v>0.8</v>
      </c>
      <c r="E36" t="n">
        <v>7.8</v>
      </c>
      <c r="F36" t="n">
        <v>0</v>
      </c>
      <c r="G36" t="n">
        <v>5461.98</v>
      </c>
      <c r="H36" t="n">
        <v>100</v>
      </c>
      <c r="I36" t="n">
        <v>110</v>
      </c>
      <c r="J36" s="22">
        <f>H36*D36/I36</f>
        <v/>
      </c>
    </row>
    <row r="37">
      <c r="A37" t="n">
        <v>4000153</v>
      </c>
      <c r="B37" t="inlineStr">
        <is>
          <t>1000;1004</t>
        </is>
      </c>
      <c r="C37" t="inlineStr">
        <is>
          <t>PACKX6 POTE X 1LT D.LECHE GRANIZ GRIDO</t>
        </is>
      </c>
      <c r="D37" s="22" t="n">
        <v>0.5054545454545455</v>
      </c>
      <c r="E37" t="n">
        <v>4.14</v>
      </c>
      <c r="F37" t="n">
        <v>0</v>
      </c>
      <c r="G37" t="n">
        <v>3118.5</v>
      </c>
      <c r="H37" t="n">
        <v>100</v>
      </c>
      <c r="I37" t="n">
        <v>110</v>
      </c>
      <c r="J37" s="22">
        <f>H37*D37/I37</f>
        <v/>
      </c>
    </row>
    <row r="38">
      <c r="A38" t="n">
        <v>4000159</v>
      </c>
      <c r="B38" t="inlineStr">
        <is>
          <t>1000;1004</t>
        </is>
      </c>
      <c r="C38" t="inlineStr">
        <is>
          <t>PACK X 6 POTE X 1 LT NRO 9 DDL - GRIDO</t>
        </is>
      </c>
      <c r="D38" s="22" t="n">
        <v>0.5054545454545455</v>
      </c>
      <c r="E38" t="n">
        <v>4.14</v>
      </c>
      <c r="F38" t="n">
        <v>0</v>
      </c>
      <c r="G38" t="n">
        <v>3118.5</v>
      </c>
      <c r="H38" t="n">
        <v>100</v>
      </c>
      <c r="I38" t="n">
        <v>110</v>
      </c>
      <c r="J38" s="22">
        <f>H38*D38/I38</f>
        <v/>
      </c>
    </row>
    <row r="39">
      <c r="A39" t="n">
        <v>4000164</v>
      </c>
      <c r="B39" t="inlineStr">
        <is>
          <t>1000;1004</t>
        </is>
      </c>
      <c r="C39" t="inlineStr">
        <is>
          <t>PACK X 6 GRIDO FAMILIAR X3 LTS N2 GRIDO</t>
        </is>
      </c>
      <c r="D39" s="22" t="n">
        <v>1.09</v>
      </c>
      <c r="E39" t="n">
        <v>9.6</v>
      </c>
      <c r="F39" t="n">
        <v>0</v>
      </c>
      <c r="G39" t="n">
        <v>7874.27</v>
      </c>
      <c r="H39" t="n">
        <v>100</v>
      </c>
      <c r="I39" t="n">
        <v>110</v>
      </c>
      <c r="J39" s="22">
        <f>H39*D39/I39</f>
        <v/>
      </c>
    </row>
    <row r="40">
      <c r="A40" t="n">
        <v>4000138</v>
      </c>
      <c r="B40" t="inlineStr">
        <is>
          <t>1000;1004</t>
        </is>
      </c>
      <c r="C40" t="inlineStr">
        <is>
          <t>PACK 4 CAJAS GRIDO FRUTAL FRUTILLA X20</t>
        </is>
      </c>
      <c r="D40" s="22" t="n">
        <v>0.82</v>
      </c>
      <c r="E40" t="n">
        <v>4.4</v>
      </c>
      <c r="F40" t="n">
        <v>0</v>
      </c>
      <c r="G40" t="n">
        <v>2472.21</v>
      </c>
      <c r="H40" t="n">
        <v>100</v>
      </c>
      <c r="I40" t="n">
        <v>110</v>
      </c>
      <c r="J40" s="22">
        <f>H40*D40/I40</f>
        <v/>
      </c>
    </row>
    <row r="41">
      <c r="A41" t="n">
        <v>4000165</v>
      </c>
      <c r="B41" t="inlineStr">
        <is>
          <t>1000;1004</t>
        </is>
      </c>
      <c r="C41" t="inlineStr">
        <is>
          <t>PACK X6 GRIDO FAMILIAR X 3LTS NRO3 GRIDO</t>
        </is>
      </c>
      <c r="D41" s="22" t="n">
        <v>1.09</v>
      </c>
      <c r="E41" t="n">
        <v>9.6</v>
      </c>
      <c r="F41" t="n">
        <v>0</v>
      </c>
      <c r="G41" t="n">
        <v>7874.27</v>
      </c>
      <c r="H41" t="n">
        <v>100</v>
      </c>
      <c r="I41" t="n">
        <v>110</v>
      </c>
      <c r="J41" s="22">
        <f>H41*D41/I41</f>
        <v/>
      </c>
    </row>
    <row r="42">
      <c r="A42" t="n">
        <v>4000141</v>
      </c>
      <c r="B42" t="inlineStr">
        <is>
          <t>1000;1004</t>
        </is>
      </c>
      <c r="C42" t="inlineStr">
        <is>
          <t>PACK 4 CAJAS GRIDO FRUTAL NARANJA X20</t>
        </is>
      </c>
      <c r="D42" s="22" t="n">
        <v>0.82</v>
      </c>
      <c r="E42" t="n">
        <v>4.32</v>
      </c>
      <c r="F42" t="n">
        <v>0</v>
      </c>
      <c r="G42" t="n">
        <v>2472.21</v>
      </c>
      <c r="H42" t="n">
        <v>100</v>
      </c>
      <c r="I42" t="n">
        <v>110</v>
      </c>
      <c r="J42" s="22">
        <f>H42*D42/I42</f>
        <v/>
      </c>
    </row>
    <row r="43">
      <c r="A43" t="n">
        <v>4000145</v>
      </c>
      <c r="B43" t="inlineStr">
        <is>
          <t>1000;1004</t>
        </is>
      </c>
      <c r="C43" t="inlineStr">
        <is>
          <t>PACK 6 CAJAS BOMBON CROCANTE X8 - GRIDO</t>
        </is>
      </c>
      <c r="D43" s="22" t="n">
        <v>0.5827272727272726</v>
      </c>
      <c r="E43" t="n">
        <v>3.31</v>
      </c>
      <c r="F43" t="n">
        <v>0</v>
      </c>
      <c r="G43" t="n">
        <v>3740</v>
      </c>
      <c r="H43" t="n">
        <v>100</v>
      </c>
      <c r="I43" t="n">
        <v>110</v>
      </c>
      <c r="J43" s="22">
        <f>H43*D43/I43</f>
        <v/>
      </c>
    </row>
    <row r="44">
      <c r="A44" t="n">
        <v>4000069</v>
      </c>
      <c r="B44" t="inlineStr">
        <is>
          <t>1000;1004</t>
        </is>
      </c>
      <c r="C44" t="inlineStr">
        <is>
          <t>DULCE LECHE C/BROWNIE 7,800 KG GRIDO</t>
        </is>
      </c>
      <c r="D44" s="22" t="n">
        <v>0.8</v>
      </c>
      <c r="E44" t="n">
        <v>7.8</v>
      </c>
      <c r="F44" t="n">
        <v>0</v>
      </c>
      <c r="G44" t="n">
        <v>6079.84</v>
      </c>
      <c r="H44" t="n">
        <v>100</v>
      </c>
      <c r="I44" t="n">
        <v>110</v>
      </c>
      <c r="J44" s="22">
        <f>H44*D44/I44</f>
        <v/>
      </c>
    </row>
    <row r="45">
      <c r="A45" t="n">
        <v>4000161</v>
      </c>
      <c r="B45" t="inlineStr">
        <is>
          <t>1000;1004</t>
        </is>
      </c>
      <c r="C45" t="inlineStr">
        <is>
          <t>PACK X 6 POTE X 1 LT  VAINILLA - GRIDO</t>
        </is>
      </c>
      <c r="D45" s="22" t="n">
        <v>0.5054545454545455</v>
      </c>
      <c r="E45" t="n">
        <v>4.14</v>
      </c>
      <c r="F45" t="n">
        <v>0</v>
      </c>
      <c r="G45" t="n">
        <v>3118.5</v>
      </c>
      <c r="H45" t="n">
        <v>100</v>
      </c>
      <c r="I45" t="n">
        <v>110</v>
      </c>
      <c r="J45" s="22">
        <f>H45*D45/I45</f>
        <v/>
      </c>
    </row>
    <row r="46">
      <c r="A46" t="n">
        <v>4000157</v>
      </c>
      <c r="B46" t="inlineStr">
        <is>
          <t>1000;1004</t>
        </is>
      </c>
      <c r="C46" t="inlineStr">
        <is>
          <t>PACK X 6 POTE X 1LT CREMA COOKIE - GRIDO</t>
        </is>
      </c>
      <c r="D46" s="22" t="n">
        <v>0.5054545454545455</v>
      </c>
      <c r="E46" t="n">
        <v>4.14</v>
      </c>
      <c r="F46" t="n">
        <v>0</v>
      </c>
      <c r="G46" t="n">
        <v>3118.5</v>
      </c>
      <c r="H46" t="n">
        <v>100</v>
      </c>
      <c r="I46" t="n">
        <v>110</v>
      </c>
      <c r="J46" s="22">
        <f>H46*D46/I46</f>
        <v/>
      </c>
    </row>
    <row r="47">
      <c r="A47" t="n">
        <v>4000156</v>
      </c>
      <c r="B47" t="inlineStr">
        <is>
          <t>1000;1004</t>
        </is>
      </c>
      <c r="C47" t="inlineStr">
        <is>
          <t>PACK X 6 POTE X 1 LT NRO 6 LIMON - GRIDO</t>
        </is>
      </c>
      <c r="D47" s="22" t="n">
        <v>0.5054545454545455</v>
      </c>
      <c r="E47" t="n">
        <v>4.14</v>
      </c>
      <c r="F47" t="n">
        <v>0</v>
      </c>
      <c r="G47" t="n">
        <v>3118.5</v>
      </c>
      <c r="H47" t="n">
        <v>100</v>
      </c>
      <c r="I47" t="n">
        <v>110</v>
      </c>
      <c r="J47" s="22">
        <f>H47*D47/I47</f>
        <v/>
      </c>
    </row>
    <row r="48">
      <c r="A48" t="n">
        <v>4000193</v>
      </c>
      <c r="B48" t="inlineStr">
        <is>
          <t>1000;1004</t>
        </is>
      </c>
      <c r="C48" t="inlineStr">
        <is>
          <t>CAPPUCCINO GRANIZADO 7,800 KG GRIDO</t>
        </is>
      </c>
      <c r="D48" s="22" t="n">
        <v>0.8</v>
      </c>
      <c r="E48" t="n">
        <v>7.8</v>
      </c>
      <c r="F48" t="n">
        <v>0</v>
      </c>
      <c r="G48" t="n">
        <v>4998.53</v>
      </c>
      <c r="H48" t="n">
        <v>100</v>
      </c>
      <c r="I48" t="n">
        <v>110</v>
      </c>
      <c r="J48" s="22">
        <f>H48*D48/I48</f>
        <v/>
      </c>
    </row>
    <row r="49">
      <c r="A49" t="n">
        <v>4000160</v>
      </c>
      <c r="B49" t="inlineStr">
        <is>
          <t>1000;1004</t>
        </is>
      </c>
      <c r="C49" t="inlineStr">
        <is>
          <t>PACK X 6 POTE X 1 LT FRUTILLA - GRIDO</t>
        </is>
      </c>
      <c r="D49" s="22" t="n">
        <v>0.5054545454545455</v>
      </c>
      <c r="E49" t="n">
        <v>4.14</v>
      </c>
      <c r="F49" t="n">
        <v>0</v>
      </c>
      <c r="G49" t="n">
        <v>3118.5</v>
      </c>
      <c r="H49" t="n">
        <v>100</v>
      </c>
      <c r="I49" t="n">
        <v>110</v>
      </c>
      <c r="J49" s="22">
        <f>H49*D49/I49</f>
        <v/>
      </c>
    </row>
    <row r="50">
      <c r="A50" t="n">
        <v>4000316</v>
      </c>
      <c r="B50" t="inlineStr">
        <is>
          <t>1000;1004</t>
        </is>
      </c>
      <c r="C50" t="inlineStr">
        <is>
          <t>DURAZNO A LA CREMA 7,800 KG GRIDO</t>
        </is>
      </c>
      <c r="D50" s="22" t="n">
        <v>0.8</v>
      </c>
      <c r="E50" t="n">
        <v>7.8</v>
      </c>
      <c r="F50" t="n">
        <v>0</v>
      </c>
      <c r="G50" t="n">
        <v>4998.53</v>
      </c>
      <c r="H50" t="n">
        <v>100</v>
      </c>
      <c r="I50" t="n">
        <v>110</v>
      </c>
      <c r="J50" s="22">
        <f>H50*D50/I50</f>
        <v/>
      </c>
    </row>
    <row r="51">
      <c r="A51" t="n">
        <v>4000139</v>
      </c>
      <c r="B51" t="inlineStr">
        <is>
          <t>1000;1004</t>
        </is>
      </c>
      <c r="C51" t="inlineStr">
        <is>
          <t>PACK 4 CAJAS GRIDO FRUTAL LIMON X20</t>
        </is>
      </c>
      <c r="D51" s="22" t="n">
        <v>0.82</v>
      </c>
      <c r="E51" t="n">
        <v>4.4</v>
      </c>
      <c r="F51" t="n">
        <v>0</v>
      </c>
      <c r="G51" t="n">
        <v>2472.21</v>
      </c>
      <c r="H51" t="n">
        <v>100</v>
      </c>
      <c r="I51" t="n">
        <v>110</v>
      </c>
      <c r="J51" s="22">
        <f>H51*D51/I51</f>
        <v/>
      </c>
    </row>
    <row r="52">
      <c r="A52" t="n">
        <v>4000450</v>
      </c>
      <c r="B52" t="inlineStr">
        <is>
          <t>1000;1004</t>
        </is>
      </c>
      <c r="C52" t="inlineStr">
        <is>
          <t>PACK x 6 TORTA HELADA C/GALLETITAS OREO</t>
        </is>
      </c>
      <c r="D52" s="22" t="n">
        <v>1.2</v>
      </c>
      <c r="E52" t="n">
        <v>6.27</v>
      </c>
      <c r="F52" t="n">
        <v>0</v>
      </c>
      <c r="G52" t="n">
        <v>6770.13</v>
      </c>
      <c r="H52" t="n">
        <v>100</v>
      </c>
      <c r="I52" t="n">
        <v>110</v>
      </c>
      <c r="J52" s="22">
        <f>H52*D52/I52</f>
        <v/>
      </c>
    </row>
    <row r="53">
      <c r="A53" t="n">
        <v>4000144</v>
      </c>
      <c r="B53" t="inlineStr">
        <is>
          <t>1000;1004</t>
        </is>
      </c>
      <c r="C53" t="inlineStr">
        <is>
          <t>PACK 4 U. POSTRE CROCANTINO - GRIDO</t>
        </is>
      </c>
      <c r="D53" s="22" t="n">
        <v>0.4327272727272727</v>
      </c>
      <c r="E53" t="n">
        <v>2.6</v>
      </c>
      <c r="F53" t="n">
        <v>0</v>
      </c>
      <c r="G53" t="n">
        <v>2884.3</v>
      </c>
      <c r="H53" t="n">
        <v>100</v>
      </c>
      <c r="I53" t="n">
        <v>110</v>
      </c>
      <c r="J53" s="22">
        <f>H53*D53/I53</f>
        <v/>
      </c>
    </row>
    <row r="54">
      <c r="A54" t="n">
        <v>4000607</v>
      </c>
      <c r="B54" t="inlineStr">
        <is>
          <t>1000;1004</t>
        </is>
      </c>
      <c r="C54" t="inlineStr">
        <is>
          <t>FRUTOS ROJOS AL AGUA 7,800 KG GRIDO</t>
        </is>
      </c>
      <c r="D54" s="22" t="n">
        <v>0.8</v>
      </c>
      <c r="E54" t="n">
        <v>7.8</v>
      </c>
      <c r="F54" t="n">
        <v>0</v>
      </c>
      <c r="G54" t="n">
        <v>2706.22</v>
      </c>
      <c r="H54" t="n">
        <v>100</v>
      </c>
      <c r="I54" t="n">
        <v>110</v>
      </c>
      <c r="J54" s="22">
        <f>H54*D54/I54</f>
        <v/>
      </c>
    </row>
    <row r="55">
      <c r="A55" t="n">
        <v>4000593</v>
      </c>
      <c r="B55" t="inlineStr">
        <is>
          <t>1000;1004</t>
        </is>
      </c>
      <c r="C55" t="inlineStr">
        <is>
          <t>PACK 4 U DELICIA DE CHOCO.Y MANÍ - GRIDO</t>
        </is>
      </c>
      <c r="D55" s="22" t="n">
        <v>0.4327272727272727</v>
      </c>
      <c r="E55" t="n">
        <v>2.4</v>
      </c>
      <c r="F55" t="n">
        <v>0</v>
      </c>
      <c r="G55" t="n">
        <v>2884.3</v>
      </c>
      <c r="H55" t="n">
        <v>100</v>
      </c>
      <c r="I55" t="n">
        <v>110</v>
      </c>
      <c r="J55" s="22">
        <f>H55*D55/I55</f>
        <v/>
      </c>
    </row>
    <row r="56">
      <c r="A56" t="n">
        <v>4000162</v>
      </c>
      <c r="B56" t="inlineStr">
        <is>
          <t>1000;1004</t>
        </is>
      </c>
      <c r="C56" t="inlineStr">
        <is>
          <t>PACK X6 POTE X 1LT CREMA AMERICANA GRIDO</t>
        </is>
      </c>
      <c r="D56" s="22" t="n">
        <v>0.5054545454545455</v>
      </c>
      <c r="E56" t="n">
        <v>4.14</v>
      </c>
      <c r="F56" t="n">
        <v>0</v>
      </c>
      <c r="G56" t="n">
        <v>3118.5</v>
      </c>
      <c r="H56" t="n">
        <v>100</v>
      </c>
      <c r="I56" t="n">
        <v>110</v>
      </c>
      <c r="J56" s="22">
        <f>H56*D56/I56</f>
        <v/>
      </c>
    </row>
    <row r="57">
      <c r="A57" t="n">
        <v>4000608</v>
      </c>
      <c r="B57" t="inlineStr">
        <is>
          <t>1000;1004</t>
        </is>
      </c>
      <c r="C57" t="inlineStr">
        <is>
          <t>CANDY 7,800 KG GRIDO</t>
        </is>
      </c>
      <c r="D57" s="22" t="n">
        <v>0.8</v>
      </c>
      <c r="E57" t="n">
        <v>7.8</v>
      </c>
      <c r="F57" t="n">
        <v>0</v>
      </c>
      <c r="G57" t="n">
        <v>4998.53</v>
      </c>
      <c r="H57" t="n">
        <v>100</v>
      </c>
      <c r="I57" t="n">
        <v>110</v>
      </c>
      <c r="J57" s="22">
        <f>H57*D57/I57</f>
        <v/>
      </c>
    </row>
    <row r="58">
      <c r="A58" t="n">
        <v>4000163</v>
      </c>
      <c r="B58" t="inlineStr">
        <is>
          <t>1000;1004</t>
        </is>
      </c>
      <c r="C58" t="inlineStr">
        <is>
          <t>PACK X6 GRIDO FAMILIAR X3LTS NRO 1 GRIDO</t>
        </is>
      </c>
      <c r="D58" s="22" t="n">
        <v>1.09</v>
      </c>
      <c r="E58" t="n">
        <v>9.6</v>
      </c>
      <c r="F58" t="n">
        <v>0</v>
      </c>
      <c r="G58" t="n">
        <v>7874.27</v>
      </c>
      <c r="H58" t="n">
        <v>100</v>
      </c>
      <c r="I58" t="n">
        <v>110</v>
      </c>
      <c r="J58" s="22">
        <f>H58*D58/I58</f>
        <v/>
      </c>
    </row>
    <row r="59">
      <c r="A59" t="n">
        <v>4000038</v>
      </c>
      <c r="B59" t="inlineStr">
        <is>
          <t>1000;1004</t>
        </is>
      </c>
      <c r="C59" t="inlineStr">
        <is>
          <t>MARACUYA AL AGUA 7,800 KG GRIDO</t>
        </is>
      </c>
      <c r="D59" s="22" t="n">
        <v>0.8</v>
      </c>
      <c r="E59" t="n">
        <v>7.8</v>
      </c>
      <c r="F59" t="n">
        <v>0</v>
      </c>
      <c r="G59" t="n">
        <v>2706.22</v>
      </c>
      <c r="H59" t="n">
        <v>100</v>
      </c>
      <c r="I59" t="n">
        <v>110</v>
      </c>
      <c r="J59" s="22">
        <f>H59*D59/I59</f>
        <v/>
      </c>
    </row>
    <row r="60">
      <c r="A60" t="n">
        <v>4000194</v>
      </c>
      <c r="B60" t="inlineStr">
        <is>
          <t>1000;1004</t>
        </is>
      </c>
      <c r="C60" t="inlineStr">
        <is>
          <t>FRUTILLA AL AGUA 7,800 KG GRIDO</t>
        </is>
      </c>
      <c r="D60" s="22" t="n">
        <v>0.8</v>
      </c>
      <c r="E60" t="n">
        <v>7.8</v>
      </c>
      <c r="F60" t="n">
        <v>0</v>
      </c>
      <c r="G60" t="n">
        <v>2706.22</v>
      </c>
      <c r="H60" t="n">
        <v>100</v>
      </c>
      <c r="I60" t="n">
        <v>110</v>
      </c>
      <c r="J60" s="22">
        <f>H60*D60/I60</f>
        <v/>
      </c>
    </row>
    <row r="61">
      <c r="A61" t="n">
        <v>4000040</v>
      </c>
      <c r="B61" t="inlineStr">
        <is>
          <t>1000;1004</t>
        </is>
      </c>
      <c r="C61" t="inlineStr">
        <is>
          <t>GRANIZADO 7,800 KG GRIDO</t>
        </is>
      </c>
      <c r="D61" s="22" t="n">
        <v>0.8</v>
      </c>
      <c r="E61" t="n">
        <v>7.8</v>
      </c>
      <c r="F61" t="n">
        <v>0</v>
      </c>
      <c r="G61" t="n">
        <v>4998.53</v>
      </c>
      <c r="H61" t="n">
        <v>100</v>
      </c>
      <c r="I61" t="n">
        <v>110</v>
      </c>
      <c r="J61" s="22">
        <f>H61*D61/I61</f>
        <v/>
      </c>
    </row>
    <row r="62">
      <c r="A62" t="n">
        <v>4000041</v>
      </c>
      <c r="B62" t="inlineStr">
        <is>
          <t>1000;1004</t>
        </is>
      </c>
      <c r="C62" t="inlineStr">
        <is>
          <t>DULCE DE LECHE 7,800 KG GRIDO</t>
        </is>
      </c>
      <c r="D62" s="22" t="n">
        <v>0.8</v>
      </c>
      <c r="E62" t="n">
        <v>7.8</v>
      </c>
      <c r="F62" t="n">
        <v>0</v>
      </c>
      <c r="G62" t="n">
        <v>4998.53</v>
      </c>
      <c r="H62" t="n">
        <v>100</v>
      </c>
      <c r="I62" t="n">
        <v>110</v>
      </c>
      <c r="J62" s="22">
        <f>H62*D62/I62</f>
        <v/>
      </c>
    </row>
    <row r="63">
      <c r="A63" t="n">
        <v>4000046</v>
      </c>
      <c r="B63" t="inlineStr">
        <is>
          <t>1000;1004</t>
        </is>
      </c>
      <c r="C63" t="inlineStr">
        <is>
          <t>DULCE LECHE GRANIZADO 7,800 KG GRIDO</t>
        </is>
      </c>
      <c r="D63" s="22" t="n">
        <v>0.8</v>
      </c>
      <c r="E63" t="n">
        <v>7.8</v>
      </c>
      <c r="F63" t="n">
        <v>0</v>
      </c>
      <c r="G63" t="n">
        <v>4998.53</v>
      </c>
      <c r="H63" t="n">
        <v>100</v>
      </c>
      <c r="I63" t="n">
        <v>110</v>
      </c>
      <c r="J63" s="22">
        <f>H63*D63/I63</f>
        <v/>
      </c>
    </row>
    <row r="64">
      <c r="A64" t="n">
        <v>4000067</v>
      </c>
      <c r="B64" t="inlineStr">
        <is>
          <t>1000;1004</t>
        </is>
      </c>
      <c r="C64" t="inlineStr">
        <is>
          <t>CHOCOLATE C/ALMEN 7,800 KG GRIDO</t>
        </is>
      </c>
      <c r="D64" s="22" t="n">
        <v>0.8</v>
      </c>
      <c r="E64" t="n">
        <v>7.8</v>
      </c>
      <c r="F64" t="n">
        <v>0</v>
      </c>
      <c r="G64" t="n">
        <v>6079.84</v>
      </c>
      <c r="H64" t="n">
        <v>100</v>
      </c>
      <c r="I64" t="n">
        <v>110</v>
      </c>
      <c r="J64" s="22">
        <f>H64*D64/I64</f>
        <v/>
      </c>
    </row>
    <row r="65">
      <c r="A65" t="n">
        <v>4000435</v>
      </c>
      <c r="B65" t="inlineStr">
        <is>
          <t>1000;1004</t>
        </is>
      </c>
      <c r="C65" t="inlineStr">
        <is>
          <t>PACK 6 POTES X 1 LT CADBURY ALMEN. GRIDO</t>
        </is>
      </c>
      <c r="D65" s="22" t="n">
        <v>0.5054545454545455</v>
      </c>
      <c r="E65" t="n">
        <v>4.14</v>
      </c>
      <c r="F65" t="n">
        <v>0</v>
      </c>
      <c r="G65" t="n">
        <v>5021.97</v>
      </c>
      <c r="H65" t="n">
        <v>100</v>
      </c>
      <c r="I65" t="n">
        <v>110</v>
      </c>
      <c r="J65" s="22">
        <f>H65*D65/I65</f>
        <v/>
      </c>
    </row>
    <row r="66">
      <c r="A66" t="n">
        <v>4000436</v>
      </c>
      <c r="B66" t="inlineStr">
        <is>
          <t>1000;1004</t>
        </is>
      </c>
      <c r="C66" t="inlineStr">
        <is>
          <t>PACK 6 POTES X 1 LT CADBURY YOGHURT – GR</t>
        </is>
      </c>
      <c r="D66" s="22" t="n">
        <v>0.5054545454545455</v>
      </c>
      <c r="E66" t="n">
        <v>4.14</v>
      </c>
      <c r="F66" t="n">
        <v>0</v>
      </c>
      <c r="G66" t="n">
        <v>5021.97</v>
      </c>
      <c r="H66" t="n">
        <v>100</v>
      </c>
      <c r="I66" t="n">
        <v>110</v>
      </c>
      <c r="J66" s="22">
        <f>H66*D66/I66</f>
        <v/>
      </c>
    </row>
    <row r="67">
      <c r="A67" t="n">
        <v>4000152</v>
      </c>
      <c r="B67" t="inlineStr">
        <is>
          <t>1000;1004</t>
        </is>
      </c>
      <c r="C67" t="inlineStr">
        <is>
          <t>PACK X 6 POTE X 1LT GRANIZADO GRIDO</t>
        </is>
      </c>
      <c r="D67" s="22" t="n">
        <v>0.5054545454545455</v>
      </c>
      <c r="E67" t="n">
        <v>4.14</v>
      </c>
      <c r="F67" t="n">
        <v>0</v>
      </c>
      <c r="G67" t="n">
        <v>3118.5</v>
      </c>
      <c r="H67" t="n">
        <v>100</v>
      </c>
      <c r="I67" t="n">
        <v>110</v>
      </c>
      <c r="J67" s="22">
        <f>H67*D67/I67</f>
        <v/>
      </c>
    </row>
    <row r="68">
      <c r="A68" t="n">
        <v>4000341</v>
      </c>
      <c r="B68" t="inlineStr">
        <is>
          <t>1000;1004</t>
        </is>
      </c>
      <c r="C68" t="inlineStr">
        <is>
          <t>PACK 6 POTES X 1 LT GALLETITA TODDY -GRI</t>
        </is>
      </c>
      <c r="D68" s="22" t="n">
        <v>0.5054545454545455</v>
      </c>
      <c r="E68" t="n">
        <v>4.14</v>
      </c>
      <c r="F68" t="n">
        <v>0</v>
      </c>
      <c r="G68" t="n">
        <v>3118.5</v>
      </c>
      <c r="H68" t="n">
        <v>100</v>
      </c>
      <c r="I68" t="n">
        <v>110</v>
      </c>
      <c r="J68" s="22">
        <f>H68*D68/I68</f>
        <v/>
      </c>
    </row>
    <row r="69">
      <c r="A69" t="n">
        <v>4000444</v>
      </c>
      <c r="B69" t="inlineStr">
        <is>
          <t>1000;1004</t>
        </is>
      </c>
      <c r="C69" t="inlineStr">
        <is>
          <t>PACK x 6 TORTA HELADA C/GALLETITAS MILKA</t>
        </is>
      </c>
      <c r="D69" s="22" t="n">
        <v>1.2</v>
      </c>
      <c r="E69" t="n">
        <v>6.27</v>
      </c>
      <c r="F69" t="n">
        <v>0</v>
      </c>
      <c r="G69" t="n">
        <v>6770.13</v>
      </c>
      <c r="H69" t="n">
        <v>100</v>
      </c>
      <c r="I69" t="n">
        <v>110</v>
      </c>
      <c r="J69" s="22">
        <f>H69*D69/I69</f>
        <v/>
      </c>
    </row>
    <row r="70">
      <c r="A70" t="n">
        <v>4000446</v>
      </c>
      <c r="B70" t="inlineStr">
        <is>
          <t>1000;1004</t>
        </is>
      </c>
      <c r="C70" t="inlineStr">
        <is>
          <t>PACK x 6 TORTA GRIDO C/RELLENO</t>
        </is>
      </c>
      <c r="D70" s="22" t="n">
        <v>1.2</v>
      </c>
      <c r="E70" t="n">
        <v>6.27</v>
      </c>
      <c r="F70" t="n">
        <v>0</v>
      </c>
      <c r="G70" t="n">
        <v>6588.33</v>
      </c>
      <c r="H70" t="n">
        <v>100</v>
      </c>
      <c r="I70" t="n">
        <v>110</v>
      </c>
      <c r="J70" s="22">
        <f>H70*D70/I70</f>
        <v/>
      </c>
    </row>
    <row r="71">
      <c r="A71" t="n">
        <v>4000670</v>
      </c>
      <c r="B71" t="inlineStr">
        <is>
          <t>1000;1004</t>
        </is>
      </c>
      <c r="C71" t="inlineStr">
        <is>
          <t>PACK X 6 POTE X 1 LT MENTA GRANIZ. GRIDO</t>
        </is>
      </c>
      <c r="D71" s="22" t="n">
        <v>0.5054545454545455</v>
      </c>
      <c r="E71" t="n">
        <v>4.14</v>
      </c>
      <c r="F71" t="n">
        <v>0</v>
      </c>
      <c r="G71" t="n">
        <v>3118.5</v>
      </c>
      <c r="H71" t="n">
        <v>100</v>
      </c>
      <c r="I71" t="n">
        <v>110</v>
      </c>
      <c r="J71" s="22">
        <f>H71*D71/I71</f>
        <v/>
      </c>
    </row>
    <row r="72">
      <c r="A72" t="n">
        <v>4000708</v>
      </c>
      <c r="B72" t="inlineStr">
        <is>
          <t>1000;1004</t>
        </is>
      </c>
      <c r="C72" t="inlineStr">
        <is>
          <t>PACK 4 CAJAS PALITO AGUA PICO DULCE X 20</t>
        </is>
      </c>
      <c r="D72" s="22" t="n">
        <v>0.82</v>
      </c>
      <c r="E72" t="n">
        <v>4.4</v>
      </c>
      <c r="F72" t="n">
        <v>0</v>
      </c>
      <c r="G72" t="n">
        <v>2472.21</v>
      </c>
      <c r="H72" t="n">
        <v>100</v>
      </c>
      <c r="I72" t="n">
        <v>110</v>
      </c>
      <c r="J72" s="22">
        <f>H72*D72/I72</f>
        <v/>
      </c>
    </row>
    <row r="73">
      <c r="A73" t="n">
        <v>4000742</v>
      </c>
      <c r="B73" t="inlineStr">
        <is>
          <t>1000;1004</t>
        </is>
      </c>
      <c r="C73" t="inlineStr">
        <is>
          <t>PACK X 6 CAJ. ALFAJOR HELADO SHOT - GR</t>
        </is>
      </c>
      <c r="D73" s="22" t="n">
        <v>0.77</v>
      </c>
      <c r="E73" t="n">
        <v>2.952</v>
      </c>
      <c r="F73" t="n">
        <v>0</v>
      </c>
      <c r="G73" t="n">
        <v>5649.88</v>
      </c>
      <c r="H73" t="n">
        <v>100</v>
      </c>
      <c r="I73" t="n">
        <v>110</v>
      </c>
      <c r="J73" s="22">
        <f>H73*D73/I73</f>
        <v/>
      </c>
    </row>
    <row r="74">
      <c r="A74" t="n">
        <v>4000754</v>
      </c>
      <c r="B74" t="inlineStr">
        <is>
          <t>1000;1004</t>
        </is>
      </c>
      <c r="C74" t="inlineStr">
        <is>
          <t>PISTACHO 7,800 KG GRIDO</t>
        </is>
      </c>
      <c r="D74" s="22" t="n">
        <v>0.8</v>
      </c>
      <c r="E74" t="n">
        <v>7.8</v>
      </c>
      <c r="F74" t="n">
        <v>0</v>
      </c>
      <c r="G74" t="n">
        <v>6079.84</v>
      </c>
      <c r="H74" t="n">
        <v>100</v>
      </c>
      <c r="I74" t="n">
        <v>110</v>
      </c>
      <c r="J74" s="22">
        <f>H74*D74/I74</f>
        <v/>
      </c>
    </row>
    <row r="75">
      <c r="A75" t="n">
        <v>4000039</v>
      </c>
      <c r="B75" t="inlineStr">
        <is>
          <t>1000;1004</t>
        </is>
      </c>
      <c r="C75" t="inlineStr">
        <is>
          <t>NARANJA AL AGUA 12 7,800 KG GRIDO</t>
        </is>
      </c>
      <c r="D75" s="22" t="n">
        <v>0.8</v>
      </c>
      <c r="E75" t="n">
        <v>7.8</v>
      </c>
      <c r="F75" t="n">
        <v>0</v>
      </c>
      <c r="G75" t="n">
        <v>2706.22</v>
      </c>
      <c r="H75" t="n">
        <v>100</v>
      </c>
      <c r="I75" t="n">
        <v>110</v>
      </c>
      <c r="J75" s="22">
        <f>H75*D75/I75</f>
        <v/>
      </c>
    </row>
    <row r="76">
      <c r="A76" t="n">
        <v>4000804</v>
      </c>
      <c r="B76" t="inlineStr">
        <is>
          <t>1000;1004</t>
        </is>
      </c>
      <c r="C76" t="inlineStr">
        <is>
          <t>EMMA CHOC 7,800 KG GRIDO</t>
        </is>
      </c>
      <c r="D76" s="22" t="n">
        <v>0.8</v>
      </c>
      <c r="E76" t="n">
        <v>7.8</v>
      </c>
      <c r="F76" t="n">
        <v>0</v>
      </c>
      <c r="G76" t="n">
        <v>6079.84</v>
      </c>
      <c r="H76" t="n">
        <v>100</v>
      </c>
      <c r="I76" t="n">
        <v>110</v>
      </c>
      <c r="J76" s="22">
        <f>H76*D76/I76</f>
        <v/>
      </c>
    </row>
    <row r="77">
      <c r="A77" t="n">
        <v>6002821</v>
      </c>
      <c r="B77" t="inlineStr">
        <is>
          <t>1000;1004</t>
        </is>
      </c>
      <c r="C77" t="inlineStr">
        <is>
          <t>BUDIN LIMON GLASEADO GR FUDY X 30 UN</t>
        </is>
      </c>
      <c r="D77" s="22" t="n">
        <v>1.818181818181818</v>
      </c>
      <c r="E77" t="n">
        <v>2.7</v>
      </c>
      <c r="F77" t="n">
        <v>0</v>
      </c>
      <c r="G77" t="n">
        <v>9762.08</v>
      </c>
      <c r="H77" t="n">
        <v>100</v>
      </c>
      <c r="I77" t="n">
        <v>110</v>
      </c>
      <c r="J77" s="22">
        <f>H77*D77/I77</f>
        <v/>
      </c>
    </row>
    <row r="78">
      <c r="A78" t="n">
        <v>6002841</v>
      </c>
      <c r="B78" t="inlineStr">
        <is>
          <t>1000;1004</t>
        </is>
      </c>
      <c r="C78" t="inlineStr">
        <is>
          <t>TORTA COCO C/DDL FLOWPACK X 24UN FUDY</t>
        </is>
      </c>
      <c r="D78" s="22" t="n">
        <v>1.818181818181818</v>
      </c>
      <c r="E78" t="n">
        <v>2.88</v>
      </c>
      <c r="F78" t="n">
        <v>0</v>
      </c>
      <c r="G78" t="n">
        <v>8871.33</v>
      </c>
      <c r="H78" t="n">
        <v>100</v>
      </c>
      <c r="I78" t="n">
        <v>110</v>
      </c>
      <c r="J78" s="22">
        <f>H78*D78/I78</f>
        <v/>
      </c>
    </row>
    <row r="79">
      <c r="A79" t="n">
        <v>6002820</v>
      </c>
      <c r="B79" t="inlineStr">
        <is>
          <t>1000;1004</t>
        </is>
      </c>
      <c r="C79" t="inlineStr">
        <is>
          <t>PAN DE QUESO (CHIPA) GRANEL FUDY X 90 UN</t>
        </is>
      </c>
      <c r="D79" s="22" t="n">
        <v>1</v>
      </c>
      <c r="E79" t="n">
        <v>3.75</v>
      </c>
      <c r="F79" t="n">
        <v>0</v>
      </c>
      <c r="G79" t="n">
        <v>13278.17</v>
      </c>
      <c r="H79" t="n">
        <v>100</v>
      </c>
      <c r="I79" t="n">
        <v>110</v>
      </c>
      <c r="J79" s="22">
        <f>H79*D79/I79</f>
        <v/>
      </c>
    </row>
    <row r="80">
      <c r="A80" t="n">
        <v>6002671</v>
      </c>
      <c r="B80" t="inlineStr">
        <is>
          <t>1000;1004</t>
        </is>
      </c>
      <c r="C80" t="inlineStr">
        <is>
          <t>PACK 12 CAJAS PIZZA FRIZZIO 510 grs.</t>
        </is>
      </c>
      <c r="D80" s="22" t="n">
        <v>0.7636363636363637</v>
      </c>
      <c r="E80" t="n">
        <v>0.51</v>
      </c>
      <c r="F80" t="n">
        <v>0</v>
      </c>
      <c r="G80" t="n">
        <v>8496.209999999999</v>
      </c>
      <c r="H80" t="n">
        <v>100</v>
      </c>
      <c r="I80" t="n">
        <v>110</v>
      </c>
      <c r="J80" s="22">
        <f>H80*D80/I80</f>
        <v/>
      </c>
    </row>
    <row r="81">
      <c r="A81" t="n">
        <v>6002672</v>
      </c>
      <c r="B81" t="inlineStr">
        <is>
          <t>1000;1004</t>
        </is>
      </c>
      <c r="C81" t="inlineStr">
        <is>
          <t>PACK 16 UN. BASTONCITOS FRIZZIO 380 grs</t>
        </is>
      </c>
      <c r="D81" s="22" t="n">
        <v>0.9472727272727273</v>
      </c>
      <c r="E81" t="n">
        <v>6.08</v>
      </c>
      <c r="F81" t="n">
        <v>0</v>
      </c>
      <c r="G81" t="n">
        <v>10653.3</v>
      </c>
      <c r="H81" t="n">
        <v>100</v>
      </c>
      <c r="I81" t="n">
        <v>110</v>
      </c>
      <c r="J81" s="22">
        <f>H81*D81/I81</f>
        <v/>
      </c>
      <c r="K81">
        <f>J81*12</f>
        <v/>
      </c>
    </row>
    <row r="82">
      <c r="A82" t="n">
        <v>6002673</v>
      </c>
      <c r="B82" t="inlineStr">
        <is>
          <t>1000;1004</t>
        </is>
      </c>
      <c r="C82" t="inlineStr">
        <is>
          <t>PACK 16 PECHUGUITA FRIZZIO 380 grs</t>
        </is>
      </c>
      <c r="D82" s="22" t="n">
        <v>1.081818181818182</v>
      </c>
      <c r="E82" t="n">
        <v>6.08</v>
      </c>
      <c r="F82" t="n">
        <v>0</v>
      </c>
      <c r="G82" t="n">
        <v>9611.780000000001</v>
      </c>
      <c r="H82" t="n">
        <v>100</v>
      </c>
      <c r="I82" t="n">
        <v>110</v>
      </c>
      <c r="J82" s="22">
        <f>H82*D82/I82</f>
        <v/>
      </c>
    </row>
    <row r="83">
      <c r="A83" t="n">
        <v>6002674</v>
      </c>
      <c r="B83" t="inlineStr">
        <is>
          <t>1000;1004</t>
        </is>
      </c>
      <c r="C83" t="inlineStr">
        <is>
          <t>PACK 20 UN. MINI PIZZA FRIZZIO X 180 grs</t>
        </is>
      </c>
      <c r="D83" s="22" t="n">
        <v>0.9472727272727273</v>
      </c>
      <c r="E83" t="n">
        <v>3.6</v>
      </c>
      <c r="F83" t="n">
        <v>0</v>
      </c>
      <c r="G83" t="n">
        <v>6877.24</v>
      </c>
      <c r="H83" t="n">
        <v>100</v>
      </c>
      <c r="I83" t="n">
        <v>110</v>
      </c>
      <c r="J83" s="22">
        <f>H83*D83/I83</f>
        <v/>
      </c>
    </row>
    <row r="84">
      <c r="A84" t="n">
        <v>6002675</v>
      </c>
      <c r="B84" t="inlineStr">
        <is>
          <t>1000;1004</t>
        </is>
      </c>
      <c r="C84" t="inlineStr">
        <is>
          <t>PACK 12 PIZZAS INTEGRAL FRIZZIO 530 grs.</t>
        </is>
      </c>
      <c r="D84" s="22" t="n">
        <v>1.262727272727273</v>
      </c>
      <c r="E84" t="n">
        <v>6.36</v>
      </c>
      <c r="F84" t="n">
        <v>0</v>
      </c>
      <c r="G84" t="n">
        <v>8742</v>
      </c>
      <c r="H84" t="n">
        <v>100</v>
      </c>
      <c r="I84" t="n">
        <v>110</v>
      </c>
      <c r="J84" s="22">
        <f>H84*D84/I84</f>
        <v/>
      </c>
    </row>
    <row r="85">
      <c r="A85" t="n">
        <v>6002676</v>
      </c>
      <c r="B85" t="inlineStr">
        <is>
          <t>1000;1004</t>
        </is>
      </c>
      <c r="C85" t="inlineStr">
        <is>
          <t>PACK 72 EMPANADAS DE CARNE DE 70 grs.</t>
        </is>
      </c>
      <c r="D85" s="22" t="n">
        <v>1.262727272727273</v>
      </c>
      <c r="E85" t="n">
        <v>5.04</v>
      </c>
      <c r="F85" t="n">
        <v>0</v>
      </c>
      <c r="G85" t="n">
        <v>7805.27</v>
      </c>
      <c r="H85" t="n">
        <v>100</v>
      </c>
      <c r="I85" t="n">
        <v>110</v>
      </c>
      <c r="J85" s="22">
        <f>H85*D85/I85</f>
        <v/>
      </c>
    </row>
    <row r="86">
      <c r="A86" t="n">
        <v>6002677</v>
      </c>
      <c r="B86" t="inlineStr">
        <is>
          <t>1000;1004</t>
        </is>
      </c>
      <c r="C86" t="inlineStr">
        <is>
          <t>PACK 72 EMPANADAS DE JyQ DE 70 grs.</t>
        </is>
      </c>
      <c r="D86" s="22" t="n">
        <v>1.032727272727273</v>
      </c>
      <c r="E86" t="n">
        <v>5.04</v>
      </c>
      <c r="F86" t="n">
        <v>0</v>
      </c>
      <c r="G86" t="n">
        <v>8313.5</v>
      </c>
      <c r="H86" t="n">
        <v>100</v>
      </c>
      <c r="I86" t="n">
        <v>110</v>
      </c>
      <c r="J86" s="22">
        <f>H86*D86/I86</f>
        <v/>
      </c>
    </row>
    <row r="87">
      <c r="A87" t="n">
        <v>6002678</v>
      </c>
      <c r="B87" t="inlineStr">
        <is>
          <t>1000;1004</t>
        </is>
      </c>
      <c r="C87" t="inlineStr">
        <is>
          <t>PACK 11 PIZZAS DE CEBOLLA FRIZZIO 540 gr</t>
        </is>
      </c>
      <c r="D87" s="22" t="n">
        <v>1.262727272727273</v>
      </c>
      <c r="E87" t="n">
        <v>5.94</v>
      </c>
      <c r="F87" t="n">
        <v>0</v>
      </c>
      <c r="G87" t="n">
        <v>7724.86</v>
      </c>
      <c r="H87" t="n">
        <v>100</v>
      </c>
      <c r="I87" t="n">
        <v>110</v>
      </c>
      <c r="J87" s="22">
        <f>H87*D87/I87</f>
        <v/>
      </c>
    </row>
    <row r="88">
      <c r="A88" t="n">
        <v>6002679</v>
      </c>
      <c r="B88" t="inlineStr">
        <is>
          <t>1000;1004</t>
        </is>
      </c>
      <c r="C88" t="inlineStr">
        <is>
          <t>PACK 11 PIZZAS DE JAMON FRIZZIO 535 grs.</t>
        </is>
      </c>
      <c r="D88" s="22" t="n">
        <v>1.262727272727273</v>
      </c>
      <c r="E88" t="n">
        <v>5.88</v>
      </c>
      <c r="F88" t="n">
        <v>0</v>
      </c>
      <c r="G88" t="n">
        <v>8619</v>
      </c>
      <c r="H88" t="n">
        <v>100</v>
      </c>
      <c r="I88" t="n">
        <v>110</v>
      </c>
      <c r="J88" s="22">
        <f>H88*D88/I88</f>
        <v/>
      </c>
    </row>
    <row r="89">
      <c r="A89" t="n">
        <v>6002680</v>
      </c>
      <c r="B89" t="inlineStr">
        <is>
          <t>1000;1004</t>
        </is>
      </c>
      <c r="C89" t="inlineStr">
        <is>
          <t>PACK X 8 PIZZA FRIZZIO T. CASERA 665 grs</t>
        </is>
      </c>
      <c r="D89" s="22" t="n">
        <v>1.262727272727273</v>
      </c>
      <c r="E89" t="n">
        <v>5.32</v>
      </c>
      <c r="F89" t="n">
        <v>0</v>
      </c>
      <c r="G89" t="n">
        <v>8311.9</v>
      </c>
      <c r="H89" t="n">
        <v>100</v>
      </c>
      <c r="I89" t="n">
        <v>110</v>
      </c>
      <c r="J89" s="22">
        <f>H89*D89/I89</f>
        <v/>
      </c>
    </row>
    <row r="90">
      <c r="A90" t="n">
        <v>6002681</v>
      </c>
      <c r="B90" t="inlineStr">
        <is>
          <t>1000;1004</t>
        </is>
      </c>
      <c r="C90" t="inlineStr">
        <is>
          <t>CAPUCHON SUNDAE GO SHOT X 70 UN</t>
        </is>
      </c>
      <c r="D90" s="22" t="n">
        <v>1.081818181818182</v>
      </c>
      <c r="E90" t="n">
        <v>0.01</v>
      </c>
      <c r="F90" t="n">
        <v>0</v>
      </c>
      <c r="G90" t="n">
        <v>9268.42</v>
      </c>
      <c r="H90" t="n">
        <v>100</v>
      </c>
      <c r="I90" t="n">
        <v>110</v>
      </c>
      <c r="J90" s="22">
        <f>H90*D90/I90</f>
        <v/>
      </c>
    </row>
    <row r="91">
      <c r="A91" t="n">
        <v>6002682</v>
      </c>
      <c r="B91" t="inlineStr">
        <is>
          <t>1000;1004</t>
        </is>
      </c>
      <c r="C91" t="inlineStr">
        <is>
          <t>PACK X 6 POSTRE CREMOSO - TIRAMISU</t>
        </is>
      </c>
      <c r="D91" s="22" t="n">
        <v>0.999090909090909</v>
      </c>
      <c r="E91" t="n">
        <v>4.5</v>
      </c>
      <c r="F91" t="n">
        <v>0</v>
      </c>
      <c r="G91" t="n">
        <v>8449.290000000001</v>
      </c>
      <c r="H91" t="n">
        <v>100</v>
      </c>
      <c r="I91" t="n">
        <v>110</v>
      </c>
      <c r="J91" s="22">
        <f>H91*D91/I91</f>
        <v/>
      </c>
    </row>
    <row r="92">
      <c r="A92" t="n">
        <v>6002683</v>
      </c>
      <c r="B92" t="inlineStr">
        <is>
          <t>1000;1004</t>
        </is>
      </c>
      <c r="C92" t="inlineStr">
        <is>
          <t>PACK X 6 POSTRE CREMOSO -  LEMON PIE</t>
        </is>
      </c>
      <c r="D92" s="22" t="n">
        <v>0.999090909090909</v>
      </c>
      <c r="E92" t="n">
        <v>4.5</v>
      </c>
      <c r="F92" t="n">
        <v>0</v>
      </c>
      <c r="G92" t="n">
        <v>8449.290000000001</v>
      </c>
      <c r="H92" t="n">
        <v>100</v>
      </c>
      <c r="I92" t="n">
        <v>110</v>
      </c>
      <c r="J92" s="22">
        <f>H92*D92/I92</f>
        <v/>
      </c>
    </row>
    <row r="93">
      <c r="A93" t="n">
        <v>6002684</v>
      </c>
      <c r="B93" t="inlineStr">
        <is>
          <t>1000;1004</t>
        </is>
      </c>
      <c r="C93" t="inlineStr">
        <is>
          <t>PACK X 6 POSTRE CREMOSO- CREM DE CHOCOL.</t>
        </is>
      </c>
      <c r="D93" s="22" t="n">
        <v>0.999090909090909</v>
      </c>
      <c r="E93" t="n">
        <v>4.5</v>
      </c>
      <c r="F93" t="n">
        <v>0</v>
      </c>
      <c r="G93" t="n">
        <v>8449.290000000001</v>
      </c>
      <c r="H93" t="n">
        <v>100</v>
      </c>
      <c r="I93" t="n">
        <v>110</v>
      </c>
      <c r="J93" s="22">
        <f>H93*D93/I93</f>
        <v/>
      </c>
    </row>
    <row r="94">
      <c r="A94" t="n">
        <v>6002685</v>
      </c>
      <c r="B94" t="inlineStr">
        <is>
          <t>1000;1004</t>
        </is>
      </c>
      <c r="C94" t="inlineStr">
        <is>
          <t>PACK X 6 POSTRE CREMOSO -  CHEESECAKE</t>
        </is>
      </c>
      <c r="D94" s="22" t="n">
        <v>0.999090909090909</v>
      </c>
      <c r="E94" t="n">
        <v>0.01</v>
      </c>
      <c r="F94" t="n">
        <v>0</v>
      </c>
      <c r="G94" t="n">
        <v>8449.290000000001</v>
      </c>
      <c r="H94" t="n">
        <v>100</v>
      </c>
      <c r="I94" t="n">
        <v>110</v>
      </c>
      <c r="J94" s="22">
        <f>H94*D94/I94</f>
        <v/>
      </c>
    </row>
    <row r="95">
      <c r="A95" t="n">
        <v>6002686</v>
      </c>
      <c r="B95" t="inlineStr">
        <is>
          <t>1000;1004</t>
        </is>
      </c>
      <c r="C95" t="inlineStr">
        <is>
          <t>PACK 60 HAMBURGUESAS 80 Grs 30 x 2 Un</t>
        </is>
      </c>
      <c r="D95" s="22" t="n">
        <v>0.63</v>
      </c>
      <c r="E95" t="n">
        <v>4.8</v>
      </c>
      <c r="F95" t="n">
        <v>0</v>
      </c>
      <c r="G95" t="n">
        <v>10468.35</v>
      </c>
      <c r="H95" t="n">
        <v>100</v>
      </c>
      <c r="I95" t="n">
        <v>110</v>
      </c>
      <c r="J95" s="22">
        <f>H95*D95/I95</f>
        <v/>
      </c>
    </row>
    <row r="96">
      <c r="A96" t="n">
        <v>6002687</v>
      </c>
      <c r="B96" t="inlineStr">
        <is>
          <t>1000;1004</t>
        </is>
      </c>
      <c r="C96" t="inlineStr">
        <is>
          <t>PACK 16 PAPAS FRITAS FRIZZIO.x720 grs</t>
        </is>
      </c>
      <c r="D96" s="22" t="n">
        <v>1.01</v>
      </c>
      <c r="E96" t="n">
        <v>8.640000000000001</v>
      </c>
      <c r="F96" t="n">
        <v>0</v>
      </c>
      <c r="G96" t="n">
        <v>8592.15</v>
      </c>
      <c r="H96" t="n">
        <v>100</v>
      </c>
      <c r="I96" t="n">
        <v>110</v>
      </c>
      <c r="J96" s="22">
        <f>H96*D96/I96</f>
        <v/>
      </c>
    </row>
    <row r="97">
      <c r="A97" t="n">
        <v>6002690</v>
      </c>
      <c r="B97" t="inlineStr">
        <is>
          <t>1000;1004</t>
        </is>
      </c>
      <c r="C97" t="inlineStr">
        <is>
          <t>PACK 4 CAJAS YOG.HEL. S/TACC MAN/MAR -GR</t>
        </is>
      </c>
      <c r="D97" s="22" t="n">
        <v>1.01</v>
      </c>
      <c r="E97" t="n">
        <v>1.92</v>
      </c>
      <c r="F97" t="n">
        <v>0</v>
      </c>
      <c r="G97" t="n">
        <v>6380.1</v>
      </c>
      <c r="H97" t="n">
        <v>100</v>
      </c>
      <c r="I97" t="n">
        <v>110</v>
      </c>
      <c r="J97" s="22">
        <f>H97*D97/I97</f>
        <v/>
      </c>
    </row>
    <row r="98">
      <c r="A98" t="n">
        <v>6002691</v>
      </c>
      <c r="B98" t="inlineStr">
        <is>
          <t>1000;1004</t>
        </is>
      </c>
      <c r="C98" t="inlineStr">
        <is>
          <t>PACK 4 CAJAS YOG.HEL. S/TACC FRUTIL - GR</t>
        </is>
      </c>
      <c r="D98" s="22" t="n">
        <v>0.7575727272727273</v>
      </c>
      <c r="E98" t="n">
        <v>1.92</v>
      </c>
      <c r="F98" t="n">
        <v>0</v>
      </c>
      <c r="G98" t="n">
        <v>6380.1</v>
      </c>
      <c r="H98" t="n">
        <v>100</v>
      </c>
      <c r="I98" t="n">
        <v>110</v>
      </c>
      <c r="J98" s="22">
        <f>H98*D98/I98</f>
        <v/>
      </c>
    </row>
    <row r="99">
      <c r="A99" t="n">
        <v>6002692</v>
      </c>
      <c r="B99" t="inlineStr">
        <is>
          <t>1000;1004</t>
        </is>
      </c>
      <c r="C99" t="inlineStr">
        <is>
          <t>PACK 4 CAJAS YOG.HEL. S/TACC FR BOS -GR</t>
        </is>
      </c>
      <c r="D99" s="22" t="n">
        <v>0.7575727272727273</v>
      </c>
      <c r="E99" t="n">
        <v>1.92</v>
      </c>
      <c r="F99" t="n">
        <v>0</v>
      </c>
      <c r="G99" t="n">
        <v>6380.1</v>
      </c>
      <c r="H99" t="n">
        <v>100</v>
      </c>
      <c r="I99" t="n">
        <v>110</v>
      </c>
      <c r="J99" s="22">
        <f>H99*D99/I99</f>
        <v/>
      </c>
    </row>
    <row r="100">
      <c r="A100" t="n">
        <v>6002693</v>
      </c>
      <c r="B100" t="inlineStr">
        <is>
          <t>1000;1004</t>
        </is>
      </c>
      <c r="C100" t="inlineStr">
        <is>
          <t>PACK 18 UN TARTA ESPINACA 175 grs.</t>
        </is>
      </c>
      <c r="D100" s="22" t="n">
        <v>0.9090909090909091</v>
      </c>
      <c r="E100" t="n">
        <v>3.15</v>
      </c>
      <c r="F100" t="n">
        <v>0</v>
      </c>
      <c r="G100" t="n">
        <v>5470.27</v>
      </c>
      <c r="H100" t="n">
        <v>100</v>
      </c>
      <c r="I100" t="n">
        <v>110</v>
      </c>
      <c r="J100" s="22">
        <f>H100*D100/I100</f>
        <v/>
      </c>
    </row>
    <row r="101">
      <c r="A101" t="n">
        <v>6002694</v>
      </c>
      <c r="B101" t="inlineStr">
        <is>
          <t>1000;1004</t>
        </is>
      </c>
      <c r="C101" t="inlineStr">
        <is>
          <t>PACK 18 UN TARTA DE JAMON Y QUESO 175 gr</t>
        </is>
      </c>
      <c r="D101" s="22" t="n">
        <v>0.6490909090909091</v>
      </c>
      <c r="E101" t="n">
        <v>3.15</v>
      </c>
      <c r="F101" t="n">
        <v>0</v>
      </c>
      <c r="G101" t="n">
        <v>5470.27</v>
      </c>
      <c r="H101" t="n">
        <v>100</v>
      </c>
      <c r="I101" t="n">
        <v>110</v>
      </c>
      <c r="J101" s="22">
        <f>H101*D101/I101</f>
        <v/>
      </c>
    </row>
    <row r="102">
      <c r="A102" t="n">
        <v>6002695</v>
      </c>
      <c r="B102" t="inlineStr">
        <is>
          <t>1000;1004</t>
        </is>
      </c>
      <c r="C102" t="inlineStr">
        <is>
          <t>PACK 18 TARTA DE CALABAZA 175 grs</t>
        </is>
      </c>
      <c r="D102" s="22" t="n">
        <v>0.6490909090909091</v>
      </c>
      <c r="E102" t="n">
        <v>3.15</v>
      </c>
      <c r="F102" t="n">
        <v>0</v>
      </c>
      <c r="G102" t="n">
        <v>5470.27</v>
      </c>
      <c r="H102" t="n">
        <v>100</v>
      </c>
      <c r="I102" t="n">
        <v>110</v>
      </c>
      <c r="J102" s="22">
        <f>H102*D102/I102</f>
        <v/>
      </c>
    </row>
    <row r="103">
      <c r="A103" t="n">
        <v>6002705</v>
      </c>
      <c r="B103" t="inlineStr">
        <is>
          <t>1000;1004</t>
        </is>
      </c>
      <c r="C103" t="inlineStr">
        <is>
          <t>SIMPLOT CORTE TRADI. 7 UN X 2 KG C/U</t>
        </is>
      </c>
      <c r="D103" s="22" t="n">
        <v>1.515454545454546</v>
      </c>
      <c r="E103" t="n">
        <v>14</v>
      </c>
      <c r="F103" t="n">
        <v>0</v>
      </c>
      <c r="G103" t="n">
        <v>10761.46</v>
      </c>
      <c r="H103" t="n">
        <v>100</v>
      </c>
      <c r="I103" t="n">
        <v>110</v>
      </c>
      <c r="J103" s="22">
        <f>H103*D103/I103</f>
        <v/>
      </c>
    </row>
    <row r="104">
      <c r="A104" t="n">
        <v>6002706</v>
      </c>
      <c r="B104" t="inlineStr">
        <is>
          <t>1000;1004</t>
        </is>
      </c>
      <c r="C104" t="inlineStr">
        <is>
          <t>FRAMBUESA DOBLE CHOCO 24 UN X 160 GR GIO</t>
        </is>
      </c>
      <c r="D104" s="22" t="n">
        <v>1.136363636363636</v>
      </c>
      <c r="E104" t="n">
        <v>3.84</v>
      </c>
      <c r="F104" t="n">
        <v>0</v>
      </c>
      <c r="G104" t="n">
        <v>20496.08</v>
      </c>
      <c r="H104" t="n">
        <v>100</v>
      </c>
      <c r="I104" t="n">
        <v>110</v>
      </c>
      <c r="J104" s="22">
        <f>H104*D104/I104</f>
        <v/>
      </c>
    </row>
    <row r="105">
      <c r="A105" t="n">
        <v>6002707</v>
      </c>
      <c r="B105" t="inlineStr">
        <is>
          <t>1000;1004</t>
        </is>
      </c>
      <c r="C105" t="inlineStr">
        <is>
          <t>FRUTILLA BAÑADA C/CHOC 24 UNX 160 GR GI</t>
        </is>
      </c>
      <c r="D105" s="22" t="n">
        <v>1.136363636363636</v>
      </c>
      <c r="E105" t="n">
        <v>3.84</v>
      </c>
      <c r="F105" t="n">
        <v>0</v>
      </c>
      <c r="G105" t="n">
        <v>20496.08</v>
      </c>
      <c r="H105" t="n">
        <v>100</v>
      </c>
      <c r="I105" t="n">
        <v>110</v>
      </c>
      <c r="J105" s="22">
        <f>H105*D105/I105</f>
        <v/>
      </c>
    </row>
    <row r="106">
      <c r="A106" t="n">
        <v>6002709</v>
      </c>
      <c r="B106" t="inlineStr">
        <is>
          <t>1000;1004</t>
        </is>
      </c>
      <c r="C106" t="inlineStr">
        <is>
          <t>PACK 4 CAJ FRUTILLA HEL S/AZUCAR X 6 UN</t>
        </is>
      </c>
      <c r="D106" s="22" t="n">
        <v>0.8</v>
      </c>
      <c r="E106" t="n">
        <v>1.92</v>
      </c>
      <c r="F106" t="n">
        <v>0</v>
      </c>
      <c r="G106" t="n">
        <v>6380.1</v>
      </c>
      <c r="H106" t="n">
        <v>100</v>
      </c>
      <c r="I106" t="n">
        <v>110</v>
      </c>
      <c r="J106" s="22">
        <f>H106*D106/I106</f>
        <v/>
      </c>
    </row>
    <row r="107">
      <c r="A107" t="n">
        <v>6002710</v>
      </c>
      <c r="B107" t="inlineStr">
        <is>
          <t>1000;1004</t>
        </is>
      </c>
      <c r="C107" t="inlineStr">
        <is>
          <t>PACK 4 CAJ CHOCO HEL S/AZUCAR X 6 UN</t>
        </is>
      </c>
      <c r="D107" s="22" t="n">
        <v>0.7572727272727272</v>
      </c>
      <c r="E107" t="n">
        <v>1.92</v>
      </c>
      <c r="F107" t="n">
        <v>0</v>
      </c>
      <c r="G107" t="n">
        <v>6380.1</v>
      </c>
      <c r="H107" t="n">
        <v>100</v>
      </c>
      <c r="I107" t="n">
        <v>110</v>
      </c>
      <c r="J107" s="22">
        <f>H107*D107/I107</f>
        <v/>
      </c>
    </row>
    <row r="108">
      <c r="A108" t="n">
        <v>6002711</v>
      </c>
      <c r="B108" t="inlineStr">
        <is>
          <t>1000;1004</t>
        </is>
      </c>
      <c r="C108" t="inlineStr">
        <is>
          <t>PACK 4 CAJ AM C/DURAZ HEL S/AZUCAR X 6UN</t>
        </is>
      </c>
      <c r="D108" s="22" t="n">
        <v>0.7572727272727272</v>
      </c>
      <c r="E108" t="n">
        <v>1.92</v>
      </c>
      <c r="F108" t="n">
        <v>0</v>
      </c>
      <c r="G108" t="n">
        <v>6380.1</v>
      </c>
      <c r="H108" t="n">
        <v>100</v>
      </c>
      <c r="I108" t="n">
        <v>110</v>
      </c>
      <c r="J108" s="22">
        <f>H108*D108/I108</f>
        <v/>
      </c>
    </row>
    <row r="109">
      <c r="A109" t="n">
        <v>6002712</v>
      </c>
      <c r="B109" t="inlineStr">
        <is>
          <t>1000;1004</t>
        </is>
      </c>
      <c r="C109" t="inlineStr">
        <is>
          <t>SMOOTHIE N°6 KW-AN-DR THE SUBLIM x 14 U</t>
        </is>
      </c>
      <c r="D109" s="22" t="n">
        <v>0.3781818181818182</v>
      </c>
      <c r="E109" t="n">
        <v>2.1</v>
      </c>
      <c r="F109" t="n">
        <v>0</v>
      </c>
      <c r="G109" t="n">
        <v>5495.43</v>
      </c>
      <c r="H109" t="n">
        <v>100</v>
      </c>
      <c r="I109" t="n">
        <v>110</v>
      </c>
      <c r="J109" s="22">
        <f>H109*D109/I109</f>
        <v/>
      </c>
    </row>
    <row r="110">
      <c r="A110" t="n">
        <v>6002713</v>
      </c>
      <c r="B110" t="inlineStr">
        <is>
          <t>1000;1004</t>
        </is>
      </c>
      <c r="C110" t="inlineStr">
        <is>
          <t>SMOOTHIE N°7 AR-FR-BN BLUE SUNSETx 14 U</t>
        </is>
      </c>
      <c r="D110" s="22" t="n">
        <v>0.3781818181818182</v>
      </c>
      <c r="E110" t="n">
        <v>2.1</v>
      </c>
      <c r="F110" t="n">
        <v>0</v>
      </c>
      <c r="G110" t="n">
        <v>5495.43</v>
      </c>
      <c r="H110" t="n">
        <v>100</v>
      </c>
      <c r="I110" t="n">
        <v>110</v>
      </c>
      <c r="J110" s="22">
        <f>H110*D110/I110</f>
        <v/>
      </c>
    </row>
    <row r="111">
      <c r="A111" t="n">
        <v>6002714</v>
      </c>
      <c r="B111" t="inlineStr">
        <is>
          <t>1000;1004</t>
        </is>
      </c>
      <c r="C111" t="inlineStr">
        <is>
          <t>SMOOTHIE N°1 MG-FR-BN COOL MANGO x 14 U</t>
        </is>
      </c>
      <c r="D111" s="22" t="n">
        <v>0.3781818181818182</v>
      </c>
      <c r="E111" t="n">
        <v>2.1</v>
      </c>
      <c r="F111" t="n">
        <v>0</v>
      </c>
      <c r="G111" t="n">
        <v>5495.43</v>
      </c>
      <c r="H111" t="n">
        <v>100</v>
      </c>
      <c r="I111" t="n">
        <v>110</v>
      </c>
      <c r="J111" s="22">
        <f>H111*D111/I111</f>
        <v/>
      </c>
    </row>
    <row r="112">
      <c r="A112" t="n">
        <v>6002715</v>
      </c>
      <c r="B112" t="inlineStr">
        <is>
          <t>1000;1004</t>
        </is>
      </c>
      <c r="C112" t="inlineStr">
        <is>
          <t>SMOOTHIE N°4 DR-AN-FR VITA LIGHT x 14 U</t>
        </is>
      </c>
      <c r="D112" s="22" t="n">
        <v>0.3781818181818182</v>
      </c>
      <c r="E112" t="n">
        <v>2.1</v>
      </c>
      <c r="F112" t="n">
        <v>0</v>
      </c>
      <c r="G112" t="n">
        <v>5495.43</v>
      </c>
      <c r="H112" t="n">
        <v>100</v>
      </c>
      <c r="I112" t="n">
        <v>110</v>
      </c>
      <c r="J112" s="22">
        <f>H112*D112/I112</f>
        <v/>
      </c>
    </row>
    <row r="113">
      <c r="A113" t="n">
        <v>6001023</v>
      </c>
      <c r="B113" t="inlineStr">
        <is>
          <t>1000;1004</t>
        </is>
      </c>
      <c r="C113" t="inlineStr">
        <is>
          <t>CAPUCHÓN SUNDAE GO SHOT X 70 UN</t>
        </is>
      </c>
      <c r="D113" s="22" t="n">
        <v>1.081818181818182</v>
      </c>
      <c r="E113" t="n">
        <v>0.01</v>
      </c>
      <c r="F113" t="n">
        <v>0</v>
      </c>
      <c r="G113" t="n">
        <v>2901.37</v>
      </c>
      <c r="H113" t="n">
        <v>100</v>
      </c>
      <c r="I113" t="n">
        <v>110</v>
      </c>
      <c r="J113" s="22">
        <f>H113*D113/I113</f>
        <v/>
      </c>
    </row>
    <row r="114">
      <c r="A114" t="n">
        <v>6002829</v>
      </c>
      <c r="B114" t="inlineStr">
        <is>
          <t>1000;1004</t>
        </is>
      </c>
      <c r="C114" t="inlineStr">
        <is>
          <t>PIMIENTO / MORRON ROJO 12 X 1 KG CONOSUD</t>
        </is>
      </c>
      <c r="D114" s="22" t="n">
        <v>1.298181818181818</v>
      </c>
      <c r="E114" t="n">
        <v>12</v>
      </c>
      <c r="F114" t="n">
        <v>0</v>
      </c>
      <c r="G114" t="n">
        <v>6543.23</v>
      </c>
      <c r="H114" t="n">
        <v>100</v>
      </c>
      <c r="I114" t="n">
        <v>110</v>
      </c>
      <c r="J114" s="22">
        <f>H114*D114/I114</f>
        <v/>
      </c>
    </row>
    <row r="115">
      <c r="A115" t="n">
        <v>6002830</v>
      </c>
      <c r="B115" t="inlineStr">
        <is>
          <t>1000;1004</t>
        </is>
      </c>
      <c r="C115" t="inlineStr">
        <is>
          <t>MIX ESPINAC CEB PIMIENTO 10 X 1 CONOSUD</t>
        </is>
      </c>
      <c r="D115" s="22" t="n">
        <v>1.514545454545454</v>
      </c>
      <c r="E115" t="n">
        <v>10</v>
      </c>
      <c r="F115" t="n">
        <v>0</v>
      </c>
      <c r="G115" t="n">
        <v>6543.23</v>
      </c>
      <c r="H115" t="n">
        <v>100</v>
      </c>
      <c r="I115" t="n">
        <v>110</v>
      </c>
      <c r="J115" s="22">
        <f>H115*D115/I115</f>
        <v/>
      </c>
    </row>
    <row r="116">
      <c r="A116" t="n">
        <v>6002831</v>
      </c>
      <c r="B116" t="inlineStr">
        <is>
          <t>1000;1004</t>
        </is>
      </c>
      <c r="C116" t="inlineStr">
        <is>
          <t>CHOCLO / MAIZ DULCE 12 X 1 KG CONOSUD</t>
        </is>
      </c>
      <c r="D116" s="22" t="n">
        <v>1.299090909090909</v>
      </c>
      <c r="E116" t="n">
        <v>12</v>
      </c>
      <c r="F116" t="n">
        <v>0</v>
      </c>
      <c r="G116" t="n">
        <v>6414.17</v>
      </c>
      <c r="H116" t="n">
        <v>100</v>
      </c>
      <c r="I116" t="n">
        <v>110</v>
      </c>
      <c r="J116" s="22">
        <f>H116*D116/I116</f>
        <v/>
      </c>
    </row>
    <row r="117">
      <c r="A117" t="n">
        <v>6002832</v>
      </c>
      <c r="B117" t="inlineStr">
        <is>
          <t>1000;1004</t>
        </is>
      </c>
      <c r="C117" t="inlineStr">
        <is>
          <t>PATITAS DE POLLO 30 UN X 400 GRS</t>
        </is>
      </c>
      <c r="D117" s="22" t="n">
        <v>2.525454545454545</v>
      </c>
      <c r="E117" t="n">
        <v>12</v>
      </c>
      <c r="F117" t="n">
        <v>0</v>
      </c>
      <c r="G117" t="n">
        <v>18635.73</v>
      </c>
      <c r="H117" t="n">
        <v>100</v>
      </c>
      <c r="I117" t="n">
        <v>110</v>
      </c>
      <c r="J117" s="22">
        <f>H117*D117/I117</f>
        <v/>
      </c>
    </row>
    <row r="118">
      <c r="A118" t="n">
        <v>6002833</v>
      </c>
      <c r="B118" t="inlineStr">
        <is>
          <t>1000;1004</t>
        </is>
      </c>
      <c r="C118" t="inlineStr">
        <is>
          <t>FORMITAS POLLO LUCCHETTI X 24 UN</t>
        </is>
      </c>
      <c r="D118" s="22" t="n">
        <v>1.818181818181818</v>
      </c>
      <c r="E118" t="n">
        <v>8.4</v>
      </c>
      <c r="F118" t="n">
        <v>0</v>
      </c>
      <c r="G118" t="n">
        <v>10045.57</v>
      </c>
      <c r="H118" t="n">
        <v>100</v>
      </c>
      <c r="I118" t="n">
        <v>110</v>
      </c>
      <c r="J118" s="22">
        <f>H118*D118/I118</f>
        <v/>
      </c>
    </row>
    <row r="119">
      <c r="A119" t="n">
        <v>6002834</v>
      </c>
      <c r="B119" t="inlineStr">
        <is>
          <t>1000;1004</t>
        </is>
      </c>
      <c r="C119" t="inlineStr">
        <is>
          <t>VEGGIES CEBO.CARAME Y ARROZ YAMANA 20 U</t>
        </is>
      </c>
      <c r="D119" s="22" t="n">
        <v>1.136363636363636</v>
      </c>
      <c r="E119" t="n">
        <v>8.4</v>
      </c>
      <c r="F119" t="n">
        <v>0</v>
      </c>
      <c r="G119" t="n">
        <v>9374.26</v>
      </c>
      <c r="H119" t="n">
        <v>100</v>
      </c>
      <c r="I119" t="n">
        <v>110</v>
      </c>
      <c r="J119" s="22">
        <f>H119*D119/I119</f>
        <v/>
      </c>
    </row>
    <row r="120">
      <c r="A120" t="n">
        <v>6002835</v>
      </c>
      <c r="B120" t="inlineStr">
        <is>
          <t>1000;1004</t>
        </is>
      </c>
      <c r="C120" t="inlineStr">
        <is>
          <t>MIX FRUTOS ROJOS 5 UN X 1 KG CONOSUD</t>
        </is>
      </c>
      <c r="D120" s="22" t="n">
        <v>0.7572727272727272</v>
      </c>
      <c r="E120" t="n">
        <v>5</v>
      </c>
      <c r="F120" t="n">
        <v>0</v>
      </c>
      <c r="G120" t="n">
        <v>8828.4</v>
      </c>
      <c r="H120" t="n">
        <v>100</v>
      </c>
      <c r="I120" t="n">
        <v>110</v>
      </c>
      <c r="J120" s="22">
        <f>H120*D120/I120</f>
        <v/>
      </c>
    </row>
    <row r="121">
      <c r="A121" t="n">
        <v>6002836</v>
      </c>
      <c r="B121" t="inlineStr">
        <is>
          <t>1000;1004</t>
        </is>
      </c>
      <c r="C121" t="inlineStr">
        <is>
          <t>MIX WOK DE VEGETALES 5 UN X 1 KG CONOSUD</t>
        </is>
      </c>
      <c r="D121" s="22" t="n">
        <v>0.7572727272727272</v>
      </c>
      <c r="E121" t="n">
        <v>5</v>
      </c>
      <c r="F121" t="n">
        <v>0</v>
      </c>
      <c r="G121" t="n">
        <v>4049.24</v>
      </c>
      <c r="H121" t="n">
        <v>100</v>
      </c>
      <c r="I121" t="n">
        <v>110</v>
      </c>
      <c r="J121" s="22">
        <f>H121*D121/I121</f>
        <v/>
      </c>
    </row>
    <row r="122">
      <c r="A122" t="n">
        <v>6002837</v>
      </c>
      <c r="B122" t="inlineStr">
        <is>
          <t>1000;1004</t>
        </is>
      </c>
      <c r="C122" t="inlineStr">
        <is>
          <t>MIX P/ TARTA ESPINCA 5 X 1 KG CONOSUD</t>
        </is>
      </c>
      <c r="D122" s="22" t="n">
        <v>0.7572727272727272</v>
      </c>
      <c r="E122" t="n">
        <v>5</v>
      </c>
      <c r="F122" t="n">
        <v>0</v>
      </c>
      <c r="G122" t="n">
        <v>5262.81</v>
      </c>
      <c r="H122" t="n">
        <v>100</v>
      </c>
      <c r="I122" t="n">
        <v>110</v>
      </c>
      <c r="J122" s="22">
        <f>H122*D122/I122</f>
        <v/>
      </c>
    </row>
    <row r="123">
      <c r="A123" t="n">
        <v>6002838</v>
      </c>
      <c r="B123" t="inlineStr">
        <is>
          <t>1000;1004</t>
        </is>
      </c>
      <c r="C123" t="inlineStr">
        <is>
          <t>MIX P/ TACOS 5 UN X 1 KG CONOSUD</t>
        </is>
      </c>
      <c r="D123" s="22" t="n">
        <v>0.7572727272727272</v>
      </c>
      <c r="E123" t="n">
        <v>5</v>
      </c>
      <c r="F123" t="n">
        <v>0</v>
      </c>
      <c r="G123" t="n">
        <v>4557.14</v>
      </c>
      <c r="H123" t="n">
        <v>100</v>
      </c>
      <c r="I123" t="n">
        <v>110</v>
      </c>
      <c r="J123" s="22">
        <f>H123*D123/I123</f>
        <v/>
      </c>
    </row>
    <row r="124">
      <c r="A124" t="n">
        <v>6002839</v>
      </c>
      <c r="B124" t="inlineStr">
        <is>
          <t>1000;1004</t>
        </is>
      </c>
      <c r="C124" t="inlineStr">
        <is>
          <t>ARANDANOS 5 X 1 KG CONOSUD</t>
        </is>
      </c>
      <c r="D124" s="22" t="n">
        <v>0.7572727272727272</v>
      </c>
      <c r="E124" t="n">
        <v>5</v>
      </c>
      <c r="F124" t="n">
        <v>0</v>
      </c>
      <c r="G124" t="n">
        <v>7572.02</v>
      </c>
      <c r="H124" t="n">
        <v>100</v>
      </c>
      <c r="I124" t="n">
        <v>110</v>
      </c>
      <c r="J124" s="22">
        <f>H124*D124/I124</f>
        <v/>
      </c>
    </row>
    <row r="125">
      <c r="A125" t="n">
        <v>6002840</v>
      </c>
      <c r="B125" t="inlineStr">
        <is>
          <t>1000;1004</t>
        </is>
      </c>
      <c r="C125" t="inlineStr">
        <is>
          <t>BUDIN MARMOLADO FLOWPACK X 20 UN FUDY</t>
        </is>
      </c>
      <c r="D125" s="22" t="n">
        <v>1.818181818181818</v>
      </c>
      <c r="E125" t="n">
        <v>1.8</v>
      </c>
      <c r="F125" t="n">
        <v>0</v>
      </c>
      <c r="G125" t="n">
        <v>5076.61</v>
      </c>
      <c r="H125" t="n">
        <v>100</v>
      </c>
      <c r="I125" t="n">
        <v>110</v>
      </c>
      <c r="J125" s="22">
        <f>H125*D125/I125</f>
        <v/>
      </c>
    </row>
    <row r="126">
      <c r="A126" t="n">
        <v>6002842</v>
      </c>
      <c r="B126" t="inlineStr">
        <is>
          <t>1000;1004</t>
        </is>
      </c>
      <c r="C126" t="inlineStr">
        <is>
          <t>MEDIALUNA  X 144 UN FUDY</t>
        </is>
      </c>
      <c r="D126" s="22" t="n">
        <v>1.818181818181818</v>
      </c>
      <c r="E126" t="n">
        <v>1</v>
      </c>
      <c r="F126" t="n">
        <v>0</v>
      </c>
      <c r="G126" t="n">
        <v>9114.91</v>
      </c>
      <c r="H126" t="n">
        <v>100</v>
      </c>
      <c r="I126" t="n">
        <v>110</v>
      </c>
      <c r="J126" s="22">
        <f>H126*D126/I126</f>
        <v/>
      </c>
    </row>
    <row r="127">
      <c r="A127" t="n">
        <v>6002843</v>
      </c>
      <c r="B127" t="inlineStr">
        <is>
          <t>1000;1004</t>
        </is>
      </c>
      <c r="C127" t="inlineStr">
        <is>
          <t>MUFFIN VAINILLA X 10 UN FUDY</t>
        </is>
      </c>
      <c r="D127" s="22" t="n">
        <v>1.818181818181818</v>
      </c>
      <c r="E127" t="n">
        <v>1.35</v>
      </c>
      <c r="F127" t="n">
        <v>0</v>
      </c>
      <c r="G127" t="n">
        <v>2995.73</v>
      </c>
      <c r="H127" t="n">
        <v>100</v>
      </c>
      <c r="I127" t="n">
        <v>110</v>
      </c>
      <c r="J127" s="22">
        <f>H127*D127/I127</f>
        <v/>
      </c>
    </row>
    <row r="128">
      <c r="A128" t="n">
        <v>6002844</v>
      </c>
      <c r="B128" t="inlineStr">
        <is>
          <t>1000;1004</t>
        </is>
      </c>
      <c r="C128" t="inlineStr">
        <is>
          <t>MUFFIN CHOCOLATE X 10 UN FUDY</t>
        </is>
      </c>
      <c r="D128" s="22" t="n">
        <v>1.818181818181818</v>
      </c>
      <c r="E128" t="n">
        <v>1.35</v>
      </c>
      <c r="F128" t="n">
        <v>0</v>
      </c>
      <c r="G128" t="n">
        <v>3074.59</v>
      </c>
      <c r="H128" t="n">
        <v>100</v>
      </c>
      <c r="I128" t="n">
        <v>110</v>
      </c>
      <c r="J128" s="22">
        <f>H128*D128/I128</f>
        <v/>
      </c>
    </row>
    <row r="129">
      <c r="A129" t="n">
        <v>6002845</v>
      </c>
      <c r="B129" t="inlineStr">
        <is>
          <t>1000;1004</t>
        </is>
      </c>
      <c r="C129" t="inlineStr">
        <is>
          <t>PACK 18 VIANDA POLLO AL DISCO C/VEG</t>
        </is>
      </c>
      <c r="D129" s="22" t="n">
        <v>0</v>
      </c>
      <c r="F129" t="n">
        <v>0</v>
      </c>
      <c r="G129" t="n">
        <v>10333</v>
      </c>
      <c r="H129" t="n">
        <v>100</v>
      </c>
      <c r="I129" t="n">
        <v>110</v>
      </c>
      <c r="J129" s="22">
        <f>H129*D129/I129</f>
        <v/>
      </c>
    </row>
    <row r="130">
      <c r="A130" t="n">
        <v>6002846</v>
      </c>
      <c r="B130" t="inlineStr">
        <is>
          <t>1000;1004</t>
        </is>
      </c>
      <c r="C130" t="inlineStr">
        <is>
          <t>VIANDA X 18 MILANESAS CON PURE</t>
        </is>
      </c>
      <c r="D130" s="22" t="n">
        <v>1.298181818181818</v>
      </c>
      <c r="E130" t="n">
        <v>9.6</v>
      </c>
      <c r="F130" t="n">
        <v>0</v>
      </c>
      <c r="G130" t="n">
        <v>10333</v>
      </c>
      <c r="H130" t="n">
        <v>100</v>
      </c>
      <c r="I130" t="n">
        <v>110</v>
      </c>
      <c r="J130" s="22">
        <f>H130*D130/I130</f>
        <v/>
      </c>
    </row>
    <row r="131">
      <c r="A131" t="n">
        <v>6002848</v>
      </c>
      <c r="B131" t="inlineStr">
        <is>
          <t>1000;1004</t>
        </is>
      </c>
      <c r="C131" t="inlineStr">
        <is>
          <t>PACK 24 VIANDAS PASTEL DE PAPAS</t>
        </is>
      </c>
      <c r="D131" s="22" t="n">
        <v>1.298181818181818</v>
      </c>
      <c r="E131" t="n">
        <v>9.6</v>
      </c>
      <c r="F131" t="n">
        <v>0</v>
      </c>
      <c r="G131" t="n">
        <v>14555.74</v>
      </c>
      <c r="H131" t="n">
        <v>100</v>
      </c>
      <c r="I131" t="n">
        <v>110</v>
      </c>
      <c r="J131" s="22">
        <f>H131*D131/I131</f>
        <v/>
      </c>
    </row>
    <row r="132">
      <c r="A132" t="n">
        <v>6002849</v>
      </c>
      <c r="B132" t="inlineStr">
        <is>
          <t>1000;1004</t>
        </is>
      </c>
      <c r="C132" t="inlineStr">
        <is>
          <t>PACK 24 VIANDAS CANELONES DE CARNE</t>
        </is>
      </c>
      <c r="D132" s="22" t="n">
        <v>1.509090909090909</v>
      </c>
      <c r="E132" t="n">
        <v>10.8</v>
      </c>
      <c r="F132" t="n">
        <v>0</v>
      </c>
      <c r="G132" t="n">
        <v>14555.74</v>
      </c>
      <c r="H132" t="n">
        <v>100</v>
      </c>
      <c r="I132" t="n">
        <v>110</v>
      </c>
      <c r="J132" s="22">
        <f>H132*D132/I132</f>
        <v/>
      </c>
    </row>
    <row r="133">
      <c r="A133" t="n">
        <v>6002850</v>
      </c>
      <c r="B133" t="inlineStr">
        <is>
          <t>1000;1004</t>
        </is>
      </c>
      <c r="C133" t="inlineStr">
        <is>
          <t>PACK 24 VIAN. LASAG DE C. C/ ESPINACA NR</t>
        </is>
      </c>
      <c r="D133" s="22" t="n">
        <v>1.298181818181818</v>
      </c>
      <c r="E133" t="n">
        <v>10.8</v>
      </c>
      <c r="F133" t="n">
        <v>0</v>
      </c>
      <c r="G133" t="n">
        <v>13166.17</v>
      </c>
      <c r="H133" t="n">
        <v>100</v>
      </c>
      <c r="I133" t="n">
        <v>110</v>
      </c>
      <c r="J133" s="22">
        <f>H133*D133/I133</f>
        <v/>
      </c>
    </row>
    <row r="134">
      <c r="A134" t="n">
        <v>6002851</v>
      </c>
      <c r="B134" t="inlineStr">
        <is>
          <t>1000;1004</t>
        </is>
      </c>
      <c r="C134" t="inlineStr">
        <is>
          <t>PACK 24 VIANDA LASAGNA BOLOG. CON JYQ NR</t>
        </is>
      </c>
      <c r="D134" s="22" t="n">
        <v>1.298181818181818</v>
      </c>
      <c r="E134" t="n">
        <v>10.8</v>
      </c>
      <c r="F134" t="n">
        <v>0</v>
      </c>
      <c r="G134" t="n">
        <v>13166.17</v>
      </c>
      <c r="H134" t="n">
        <v>100</v>
      </c>
      <c r="I134" t="n">
        <v>110</v>
      </c>
      <c r="J134" s="22">
        <f>H134*D134/I134</f>
        <v/>
      </c>
    </row>
    <row r="135">
      <c r="A135" t="n">
        <v>6002854</v>
      </c>
      <c r="B135" t="inlineStr">
        <is>
          <t>1000;1004</t>
        </is>
      </c>
      <c r="C135" t="inlineStr">
        <is>
          <t>BUDIN LIMON C/ AMAPOLA X 20 UN FUDY</t>
        </is>
      </c>
      <c r="D135" s="22" t="n">
        <v>1.818181818181818</v>
      </c>
      <c r="E135" t="n">
        <v>1.8</v>
      </c>
      <c r="F135" t="n">
        <v>0</v>
      </c>
      <c r="G135" t="n">
        <v>4853</v>
      </c>
      <c r="H135" t="n">
        <v>100</v>
      </c>
      <c r="I135" t="n">
        <v>110</v>
      </c>
      <c r="J135" s="22">
        <f>H135*D135/I135</f>
        <v/>
      </c>
    </row>
    <row r="136">
      <c r="A136" t="n">
        <v>6002858</v>
      </c>
      <c r="B136" t="inlineStr">
        <is>
          <t>1000;1004</t>
        </is>
      </c>
      <c r="C136" t="inlineStr">
        <is>
          <t>PACK X 18 PAPAS MACCAI NOSETTE X 500 GRS</t>
        </is>
      </c>
      <c r="D136" s="22" t="n">
        <v>1.01</v>
      </c>
      <c r="E136" t="n">
        <v>9</v>
      </c>
      <c r="F136" t="n">
        <v>0</v>
      </c>
      <c r="G136" t="n">
        <v>7861.44</v>
      </c>
      <c r="H136" t="n">
        <v>100</v>
      </c>
      <c r="I136" t="n">
        <v>110</v>
      </c>
      <c r="J136" s="22">
        <f>H136*D136/I136</f>
        <v/>
      </c>
    </row>
    <row r="137">
      <c r="A137" t="n">
        <v>6002804</v>
      </c>
      <c r="B137" t="inlineStr">
        <is>
          <t>1000;1004</t>
        </is>
      </c>
      <c r="C137" t="inlineStr">
        <is>
          <t>PACK 12 PAPAS SMILE MCAIN 600 GR</t>
        </is>
      </c>
      <c r="D137" s="22" t="n">
        <v>1.01</v>
      </c>
      <c r="E137" t="n">
        <v>7.2</v>
      </c>
      <c r="F137" t="n">
        <v>0</v>
      </c>
      <c r="G137" t="n">
        <v>10424.3</v>
      </c>
      <c r="H137" t="n">
        <v>100</v>
      </c>
      <c r="I137" t="n">
        <v>110</v>
      </c>
      <c r="J137" s="22">
        <f>H137*D137/I137</f>
        <v/>
      </c>
    </row>
    <row r="138">
      <c r="A138" t="inlineStr">
        <is>
          <t>COMBO MIX PIZZA 50%</t>
        </is>
      </c>
      <c r="B138" t="inlineStr">
        <is>
          <t>1000;1004</t>
        </is>
      </c>
      <c r="C138" t="inlineStr">
        <is>
          <t>COMBO MIX PIZZA 50%</t>
        </is>
      </c>
      <c r="D138" s="22" t="n">
        <v>6.761818181818183</v>
      </c>
      <c r="E138" t="n">
        <v>27.61</v>
      </c>
      <c r="F138" t="n">
        <v>0</v>
      </c>
      <c r="G138" t="n">
        <v>343310.36</v>
      </c>
      <c r="H138" t="n">
        <v>100</v>
      </c>
      <c r="I138" t="n">
        <v>110</v>
      </c>
      <c r="J138" s="22">
        <f>H138*D138/I138</f>
        <v/>
      </c>
    </row>
    <row r="139">
      <c r="A139" t="inlineStr">
        <is>
          <t>COMBO PIZZA 100%</t>
        </is>
      </c>
      <c r="B139" t="inlineStr">
        <is>
          <t>1000;1004</t>
        </is>
      </c>
      <c r="C139" t="inlineStr">
        <is>
          <t>COMBO MIX PIZZA 100%</t>
        </is>
      </c>
      <c r="D139" s="22" t="n">
        <v>6.761818181818183</v>
      </c>
      <c r="E139" t="n">
        <v>27.61</v>
      </c>
      <c r="F139" t="n">
        <v>0</v>
      </c>
      <c r="G139" t="n">
        <v>692726.61</v>
      </c>
      <c r="H139" t="n">
        <v>100</v>
      </c>
      <c r="I139" t="n">
        <v>110</v>
      </c>
      <c r="J139" s="22">
        <f>H139*D139/I139</f>
        <v/>
      </c>
    </row>
    <row r="140">
      <c r="A140" t="n">
        <v>4000440</v>
      </c>
      <c r="B140" t="inlineStr">
        <is>
          <t>1000;1004</t>
        </is>
      </c>
      <c r="C140" t="inlineStr">
        <is>
          <t xml:space="preserve"> PALITO AGUA SABOR FRUTILLA VB C. x 80UN</t>
        </is>
      </c>
      <c r="D140" s="22" t="n">
        <v>0.8418181818181819</v>
      </c>
      <c r="E140" t="n">
        <v>4.4</v>
      </c>
      <c r="F140" t="n">
        <v>0</v>
      </c>
      <c r="G140" t="n">
        <v>2472.21</v>
      </c>
      <c r="H140" t="n">
        <v>100</v>
      </c>
      <c r="I140" t="n">
        <v>110</v>
      </c>
      <c r="J140" s="22">
        <f>H140*D140/I140</f>
        <v/>
      </c>
    </row>
    <row r="141">
      <c r="A141" t="n">
        <v>4000441</v>
      </c>
      <c r="B141" t="inlineStr">
        <is>
          <t>1000;1004</t>
        </is>
      </c>
      <c r="C141" t="inlineStr">
        <is>
          <t>PALITO AGUA SABOR NARANJA VB CAJA x 80UN</t>
        </is>
      </c>
      <c r="D141" s="22" t="n">
        <v>0.8418181818181819</v>
      </c>
      <c r="E141" t="n">
        <v>4.4</v>
      </c>
      <c r="F141" t="n">
        <v>0</v>
      </c>
      <c r="G141" t="n">
        <v>2472.21</v>
      </c>
      <c r="H141" t="n">
        <v>100</v>
      </c>
      <c r="I141" t="n">
        <v>110</v>
      </c>
      <c r="J141" s="22">
        <f>H141*D141/I141</f>
        <v/>
      </c>
    </row>
    <row r="142">
      <c r="A142" t="n">
        <v>4000438</v>
      </c>
      <c r="B142" t="inlineStr">
        <is>
          <t>1000;1004</t>
        </is>
      </c>
      <c r="C142" t="inlineStr">
        <is>
          <t>PALITO CREMA SABOR FRUTILLA VB C. x 80UN</t>
        </is>
      </c>
      <c r="D142" s="22" t="n">
        <v>0.8418181818181819</v>
      </c>
      <c r="E142" t="n">
        <v>3.2</v>
      </c>
      <c r="F142" t="n">
        <v>0</v>
      </c>
      <c r="G142" t="n">
        <v>3616.48</v>
      </c>
      <c r="H142" t="n">
        <v>100</v>
      </c>
      <c r="I142" t="n">
        <v>110</v>
      </c>
      <c r="J142" s="22">
        <f>H142*D142/I142</f>
        <v/>
      </c>
    </row>
    <row r="143">
      <c r="A143" t="n">
        <v>4000442</v>
      </c>
      <c r="B143" t="inlineStr">
        <is>
          <t>1000;1004</t>
        </is>
      </c>
      <c r="C143" t="inlineStr">
        <is>
          <t>PALITO AGUA SABOR LIMON VB CAJA x 80 UN</t>
        </is>
      </c>
      <c r="D143" s="22" t="n">
        <v>0.8418181818181819</v>
      </c>
      <c r="E143" t="n">
        <v>4.4</v>
      </c>
      <c r="F143" t="n">
        <v>0</v>
      </c>
      <c r="G143" t="n">
        <v>2472.21</v>
      </c>
      <c r="H143" t="n">
        <v>100</v>
      </c>
      <c r="I143" t="n">
        <v>110</v>
      </c>
      <c r="J143" s="22">
        <f>H143*D143/I143</f>
        <v/>
      </c>
    </row>
    <row r="144">
      <c r="A144" t="n">
        <v>4000437</v>
      </c>
      <c r="B144" t="inlineStr">
        <is>
          <t>1000;1004</t>
        </is>
      </c>
      <c r="C144" t="inlineStr">
        <is>
          <t>PALITO CREMA AMERICANA VB CAJA x 80 UN</t>
        </is>
      </c>
      <c r="D144" s="22" t="n">
        <v>0.8418181818181819</v>
      </c>
      <c r="E144" t="n">
        <v>3.2</v>
      </c>
      <c r="F144" t="n">
        <v>0</v>
      </c>
      <c r="G144" t="n">
        <v>3616.48</v>
      </c>
      <c r="H144" t="n">
        <v>100</v>
      </c>
      <c r="I144" t="n">
        <v>110</v>
      </c>
      <c r="J144" s="22">
        <f>H144*D144/I144</f>
        <v/>
      </c>
    </row>
    <row r="145">
      <c r="A145" t="n">
        <v>4000758</v>
      </c>
      <c r="B145" t="inlineStr">
        <is>
          <t>1000;1004</t>
        </is>
      </c>
      <c r="C145" t="inlineStr">
        <is>
          <t>CREMA DEL CIELO 7,800 KG GRIDO</t>
        </is>
      </c>
      <c r="D145" s="22" t="n">
        <v>0.8</v>
      </c>
      <c r="E145" t="n">
        <v>7.8</v>
      </c>
      <c r="F145" t="n">
        <v>0</v>
      </c>
      <c r="G145" t="n">
        <v>4998.53</v>
      </c>
      <c r="H145" t="n">
        <v>100</v>
      </c>
      <c r="I145" t="n">
        <v>110</v>
      </c>
      <c r="J145" s="22">
        <f>H145*D145/I145</f>
        <v/>
      </c>
    </row>
    <row r="146">
      <c r="A146" t="n">
        <v>4000439</v>
      </c>
      <c r="B146" t="inlineStr">
        <is>
          <t>1000;1004</t>
        </is>
      </c>
      <c r="C146" t="inlineStr">
        <is>
          <t>PALITO BOMBON VB CAJA x 80 UN</t>
        </is>
      </c>
      <c r="D146" s="22" t="n">
        <v>0.8418181818181819</v>
      </c>
      <c r="E146" t="n">
        <v>4.08</v>
      </c>
      <c r="F146" t="n">
        <v>0</v>
      </c>
      <c r="G146" t="n">
        <v>4698.12</v>
      </c>
      <c r="H146" t="n">
        <v>100</v>
      </c>
      <c r="I146" t="n">
        <v>110</v>
      </c>
      <c r="J146" s="22">
        <f>H146*D146/I146</f>
        <v/>
      </c>
    </row>
    <row r="147">
      <c r="A147" t="n">
        <v>6000001</v>
      </c>
      <c r="B147" t="inlineStr">
        <is>
          <t>2000;2000</t>
        </is>
      </c>
      <c r="C147" t="inlineStr">
        <is>
          <t>FLY BANNER FRIZZIO 2.60 x 0.80 mts</t>
        </is>
      </c>
      <c r="D147" s="22" t="n">
        <v>0.1818181818181818</v>
      </c>
      <c r="E147" t="n">
        <v>1.15</v>
      </c>
      <c r="F147" t="n">
        <v>0</v>
      </c>
      <c r="G147" t="n">
        <v>14885.91</v>
      </c>
      <c r="H147" t="n">
        <v>100</v>
      </c>
      <c r="I147" t="n">
        <v>110</v>
      </c>
      <c r="J147" s="22">
        <f>H147*D147/I147</f>
        <v/>
      </c>
    </row>
    <row r="148">
      <c r="A148" t="n">
        <v>6000087</v>
      </c>
      <c r="B148" t="inlineStr">
        <is>
          <t>2000;2000</t>
        </is>
      </c>
      <c r="C148" t="inlineStr">
        <is>
          <t>CABEZAL DE POLIPROPILENOPARA MOPA</t>
        </is>
      </c>
      <c r="D148" s="22" t="n">
        <v>0.1818181818181818</v>
      </c>
      <c r="E148" t="n">
        <v>0.85</v>
      </c>
      <c r="F148" t="n">
        <v>0</v>
      </c>
      <c r="G148" t="n">
        <v>601.37</v>
      </c>
      <c r="H148" t="n">
        <v>100</v>
      </c>
      <c r="I148" t="n">
        <v>110</v>
      </c>
      <c r="J148" s="22">
        <f>H148*D148/I148</f>
        <v/>
      </c>
    </row>
    <row r="149">
      <c r="A149" t="n">
        <v>6000000</v>
      </c>
      <c r="B149" t="inlineStr">
        <is>
          <t>2000;2000</t>
        </is>
      </c>
      <c r="C149" t="inlineStr">
        <is>
          <t>FLY BANNER GRIDO 2.60 x 0.80 mts</t>
        </is>
      </c>
      <c r="D149" s="22" t="n">
        <v>0.1818181818181818</v>
      </c>
      <c r="E149" t="n">
        <v>1.15</v>
      </c>
      <c r="F149" t="n">
        <v>0</v>
      </c>
      <c r="G149" t="n">
        <v>14885.91</v>
      </c>
      <c r="H149" t="n">
        <v>100</v>
      </c>
      <c r="I149" t="n">
        <v>110</v>
      </c>
      <c r="J149" s="22">
        <f>H149*D149/I149</f>
        <v/>
      </c>
    </row>
    <row r="150">
      <c r="A150" t="n">
        <v>6000063</v>
      </c>
      <c r="B150" t="inlineStr">
        <is>
          <t>2000;2000</t>
        </is>
      </c>
      <c r="C150" t="inlineStr">
        <is>
          <t>BAÑO CHOCO REPOSTERÍA SEMI AMARGO X 10</t>
        </is>
      </c>
      <c r="D150" s="22" t="n">
        <v>1.420454545454545</v>
      </c>
      <c r="E150" t="n">
        <v>10.64</v>
      </c>
      <c r="F150" t="n">
        <v>0</v>
      </c>
      <c r="G150" t="n">
        <v>11985.12</v>
      </c>
      <c r="H150" t="n">
        <v>100</v>
      </c>
      <c r="I150" t="n">
        <v>110</v>
      </c>
      <c r="J150" s="22">
        <f>H150*D150/I150</f>
        <v/>
      </c>
    </row>
    <row r="151">
      <c r="A151" t="n">
        <v>6000199</v>
      </c>
      <c r="B151" t="inlineStr">
        <is>
          <t>2000;2000</t>
        </is>
      </c>
      <c r="C151" t="inlineStr">
        <is>
          <t>DESINFECTANTE APTO ALIMENTACION X 5 LTS</t>
        </is>
      </c>
      <c r="D151" s="22" t="n">
        <v>0.7575727272727273</v>
      </c>
      <c r="E151" t="n">
        <v>5.21</v>
      </c>
      <c r="F151" t="n">
        <v>0</v>
      </c>
      <c r="G151" t="n">
        <v>2103.92</v>
      </c>
      <c r="H151" t="n">
        <v>100</v>
      </c>
      <c r="I151" t="n">
        <v>110</v>
      </c>
      <c r="J151" s="22">
        <f>H151*D151/I151</f>
        <v/>
      </c>
    </row>
    <row r="152">
      <c r="A152" t="n">
        <v>6000069</v>
      </c>
      <c r="B152" t="inlineStr">
        <is>
          <t>2000;2000</t>
        </is>
      </c>
      <c r="C152" t="inlineStr">
        <is>
          <t>BOCHERA AUTOMATICA  AMARILLA 40 grs.</t>
        </is>
      </c>
      <c r="D152" s="22" t="n">
        <v>0.1818181818181818</v>
      </c>
      <c r="E152" t="n">
        <v>0.14</v>
      </c>
      <c r="F152" t="n">
        <v>0</v>
      </c>
      <c r="G152" t="n">
        <v>6546.94</v>
      </c>
      <c r="H152" t="n">
        <v>100</v>
      </c>
      <c r="I152" t="n">
        <v>110</v>
      </c>
      <c r="J152" s="22">
        <f>H152*D152/I152</f>
        <v/>
      </c>
    </row>
    <row r="153">
      <c r="A153" t="n">
        <v>6000075</v>
      </c>
      <c r="B153" t="inlineStr">
        <is>
          <t>2000;2000</t>
        </is>
      </c>
      <c r="C153" t="inlineStr">
        <is>
          <t>SOBRE P. KRAFT 16X06X15 GR.CAFE X 100 U</t>
        </is>
      </c>
      <c r="D153" s="22" t="n">
        <v>0.1818181818181818</v>
      </c>
      <c r="E153" t="n">
        <v>0.34</v>
      </c>
      <c r="F153" t="n">
        <v>0</v>
      </c>
      <c r="G153" t="n">
        <v>1285.35</v>
      </c>
      <c r="H153" t="n">
        <v>100</v>
      </c>
      <c r="I153" t="n">
        <v>110</v>
      </c>
      <c r="J153" s="22">
        <f>H153*D153/I153</f>
        <v/>
      </c>
    </row>
    <row r="154">
      <c r="A154" t="n">
        <v>6000073</v>
      </c>
      <c r="B154" t="inlineStr">
        <is>
          <t>2000;2000</t>
        </is>
      </c>
      <c r="C154" t="inlineStr">
        <is>
          <t>BOLSA DE RESIDUO 70 X 90 CM X 50 UNID</t>
        </is>
      </c>
      <c r="D154" s="22" t="n">
        <v>0.1818181818181818</v>
      </c>
      <c r="E154" t="n">
        <v>1.34</v>
      </c>
      <c r="F154" t="n">
        <v>0</v>
      </c>
      <c r="G154" t="n">
        <v>1347.81</v>
      </c>
      <c r="H154" t="n">
        <v>100</v>
      </c>
      <c r="I154" t="n">
        <v>110</v>
      </c>
      <c r="J154" s="22">
        <f>H154*D154/I154</f>
        <v/>
      </c>
    </row>
    <row r="155">
      <c r="A155" t="n">
        <v>6000124</v>
      </c>
      <c r="B155" t="inlineStr">
        <is>
          <t>2000;2000</t>
        </is>
      </c>
      <c r="C155" t="inlineStr">
        <is>
          <t>CEPILLO INDUSTRIAL BARRENDERO 30 CM</t>
        </is>
      </c>
      <c r="D155" s="22" t="n">
        <v>0.1818181818181818</v>
      </c>
      <c r="E155" t="n">
        <v>0.46</v>
      </c>
      <c r="F155" t="n">
        <v>0</v>
      </c>
      <c r="G155" t="n">
        <v>3014.88</v>
      </c>
      <c r="H155" t="n">
        <v>100</v>
      </c>
      <c r="I155" t="n">
        <v>110</v>
      </c>
      <c r="J155" s="22">
        <f>H155*D155/I155</f>
        <v/>
      </c>
    </row>
    <row r="156">
      <c r="A156" t="n">
        <v>6000178</v>
      </c>
      <c r="B156" t="inlineStr">
        <is>
          <t>2000;2000</t>
        </is>
      </c>
      <c r="C156" t="inlineStr">
        <is>
          <t>CROCANTE DE MANI CLARO ALMENDRAS X KG</t>
        </is>
      </c>
      <c r="D156" s="22" t="n">
        <v>0.1298727272727273</v>
      </c>
      <c r="E156" t="n">
        <v>1</v>
      </c>
      <c r="F156" t="n">
        <v>0</v>
      </c>
      <c r="G156" t="n">
        <v>1560.91</v>
      </c>
      <c r="H156" t="n">
        <v>100</v>
      </c>
      <c r="I156" t="n">
        <v>110</v>
      </c>
      <c r="J156" s="22">
        <f>H156*D156/I156</f>
        <v/>
      </c>
    </row>
    <row r="157">
      <c r="A157" t="n">
        <v>6000203</v>
      </c>
      <c r="B157" t="inlineStr">
        <is>
          <t>2000;2000</t>
        </is>
      </c>
      <c r="C157" t="inlineStr">
        <is>
          <t>DISPENSER P/PAPEL HIGIENICO PVC BLANCO</t>
        </is>
      </c>
      <c r="D157" s="22" t="n">
        <v>0.3787909090909091</v>
      </c>
      <c r="E157" t="n">
        <v>0.44</v>
      </c>
      <c r="F157" t="n">
        <v>0</v>
      </c>
      <c r="G157" t="n">
        <v>1276.23</v>
      </c>
      <c r="H157" t="n">
        <v>100</v>
      </c>
      <c r="I157" t="n">
        <v>110</v>
      </c>
      <c r="J157" s="22">
        <f>H157*D157/I157</f>
        <v/>
      </c>
    </row>
    <row r="158">
      <c r="A158" t="n">
        <v>6000275</v>
      </c>
      <c r="B158" t="inlineStr">
        <is>
          <t>2000;2000</t>
        </is>
      </c>
      <c r="C158" t="inlineStr">
        <is>
          <t>JABON LIQUIDO PARA MANOS x 5 litros</t>
        </is>
      </c>
      <c r="D158" s="22" t="n">
        <v>0.7575727272727273</v>
      </c>
      <c r="E158" t="n">
        <v>5.37</v>
      </c>
      <c r="F158" t="n">
        <v>0</v>
      </c>
      <c r="G158" t="n">
        <v>2208.94</v>
      </c>
      <c r="H158" t="n">
        <v>100</v>
      </c>
      <c r="I158" t="n">
        <v>110</v>
      </c>
      <c r="J158" s="22">
        <f>H158*D158/I158</f>
        <v/>
      </c>
    </row>
    <row r="159">
      <c r="A159" t="n">
        <v>6000257</v>
      </c>
      <c r="B159" t="inlineStr">
        <is>
          <t>2000;2000</t>
        </is>
      </c>
      <c r="C159" t="inlineStr">
        <is>
          <t>KIT PERIFERICOS EXHIBIDOR GRIDO MARKET</t>
        </is>
      </c>
      <c r="D159" s="22" t="n">
        <v>0.3</v>
      </c>
      <c r="E159" t="n">
        <v>0</v>
      </c>
      <c r="F159" t="n">
        <v>0</v>
      </c>
      <c r="G159" t="n">
        <v>2734.29</v>
      </c>
      <c r="H159" t="n">
        <v>100</v>
      </c>
      <c r="I159" t="n">
        <v>110</v>
      </c>
      <c r="J159" s="22">
        <f>H159*D159/I159</f>
        <v/>
      </c>
    </row>
    <row r="160">
      <c r="A160" t="n">
        <v>6000286</v>
      </c>
      <c r="B160" t="inlineStr">
        <is>
          <t>2000;2000</t>
        </is>
      </c>
      <c r="C160" t="inlineStr">
        <is>
          <t>LATEX EXT/INT LAV PURE WHITE 7005 20 LTS</t>
        </is>
      </c>
      <c r="D160" s="22" t="n">
        <v>2.525254545454545</v>
      </c>
      <c r="E160" t="n">
        <v>0.2</v>
      </c>
      <c r="F160" t="n">
        <v>0</v>
      </c>
      <c r="G160" t="n">
        <v>13264.57</v>
      </c>
      <c r="H160" t="n">
        <v>100</v>
      </c>
      <c r="I160" t="n">
        <v>110</v>
      </c>
      <c r="J160" s="22">
        <f>H160*D160/I160</f>
        <v/>
      </c>
    </row>
    <row r="161">
      <c r="A161" t="n">
        <v>6000274</v>
      </c>
      <c r="B161" t="inlineStr">
        <is>
          <t>2000;2000</t>
        </is>
      </c>
      <c r="C161" t="inlineStr">
        <is>
          <t>JABON BLANCO EN PAN</t>
        </is>
      </c>
      <c r="D161" s="22" t="n">
        <v>0.09090909090909091</v>
      </c>
      <c r="E161" t="n">
        <v>0.15</v>
      </c>
      <c r="F161" t="n">
        <v>0</v>
      </c>
      <c r="G161" t="n">
        <v>160.44</v>
      </c>
      <c r="H161" t="n">
        <v>100</v>
      </c>
      <c r="I161" t="n">
        <v>110</v>
      </c>
      <c r="J161" s="22">
        <f>H161*D161/I161</f>
        <v/>
      </c>
    </row>
    <row r="162">
      <c r="A162" t="n">
        <v>6000323</v>
      </c>
      <c r="B162" t="inlineStr">
        <is>
          <t>2000;2000</t>
        </is>
      </c>
      <c r="C162" t="inlineStr">
        <is>
          <t>MOPA MINIMOP LARGO 220 GR</t>
        </is>
      </c>
      <c r="D162" s="22" t="n">
        <v>0.1818181818181818</v>
      </c>
      <c r="E162" t="n">
        <v>0.2</v>
      </c>
      <c r="F162" t="n">
        <v>0</v>
      </c>
      <c r="G162" t="n">
        <v>1660.82</v>
      </c>
      <c r="H162" t="n">
        <v>100</v>
      </c>
      <c r="I162" t="n">
        <v>110</v>
      </c>
      <c r="J162" s="22">
        <f>H162*D162/I162</f>
        <v/>
      </c>
    </row>
    <row r="163">
      <c r="A163" t="n">
        <v>6000221</v>
      </c>
      <c r="B163" t="inlineStr">
        <is>
          <t>2000;2000</t>
        </is>
      </c>
      <c r="C163" t="inlineStr">
        <is>
          <t>FRUTILLAS AL NATURAL x 920 grs.</t>
        </is>
      </c>
      <c r="D163" s="22" t="n">
        <v>0.09472727272727273</v>
      </c>
      <c r="E163" t="n">
        <v>0.98</v>
      </c>
      <c r="F163" t="n">
        <v>0</v>
      </c>
      <c r="G163" t="n">
        <v>824.1</v>
      </c>
      <c r="H163" t="n">
        <v>100</v>
      </c>
      <c r="I163" t="n">
        <v>110</v>
      </c>
      <c r="J163" s="22">
        <f>H163*D163/I163</f>
        <v/>
      </c>
    </row>
    <row r="164">
      <c r="A164" t="n">
        <v>6000367</v>
      </c>
      <c r="B164" t="inlineStr">
        <is>
          <t>2000;2000</t>
        </is>
      </c>
      <c r="C164" t="inlineStr">
        <is>
          <t>PAÑO LIMPIEZA (ROLLO) 88 Unid x28cmx32cm</t>
        </is>
      </c>
      <c r="D164" s="22" t="n">
        <v>0.3030272727272727</v>
      </c>
      <c r="E164" t="n">
        <v>0.9</v>
      </c>
      <c r="F164" t="n">
        <v>0</v>
      </c>
      <c r="G164" t="n">
        <v>3563.63</v>
      </c>
      <c r="H164" t="n">
        <v>100</v>
      </c>
      <c r="I164" t="n">
        <v>110</v>
      </c>
      <c r="J164" s="22">
        <f>H164*D164/I164</f>
        <v/>
      </c>
    </row>
    <row r="165">
      <c r="A165" t="n">
        <v>6000384</v>
      </c>
      <c r="B165" t="inlineStr">
        <is>
          <t>2000;2000</t>
        </is>
      </c>
      <c r="C165" t="inlineStr">
        <is>
          <t>PLUMERO GRIS  P/LIMPIEZA DE TECHOS</t>
        </is>
      </c>
      <c r="D165" s="22" t="n">
        <v>0.3030272727272727</v>
      </c>
      <c r="E165" t="n">
        <v>0.7</v>
      </c>
      <c r="F165" t="n">
        <v>0</v>
      </c>
      <c r="G165" t="n">
        <v>926.87</v>
      </c>
      <c r="H165" t="n">
        <v>100</v>
      </c>
      <c r="I165" t="n">
        <v>110</v>
      </c>
      <c r="J165" s="22">
        <f>H165*D165/I165</f>
        <v/>
      </c>
    </row>
    <row r="166">
      <c r="A166" t="n">
        <v>6000050</v>
      </c>
      <c r="B166" t="inlineStr">
        <is>
          <t>2000;2000</t>
        </is>
      </c>
      <c r="C166" t="inlineStr">
        <is>
          <t>ALCOHOL EN GEL CON GLISERINA X 5 LTS</t>
        </is>
      </c>
      <c r="D166" s="22" t="n">
        <v>0.7575727272727273</v>
      </c>
      <c r="E166" t="n">
        <v>4.49</v>
      </c>
      <c r="F166" t="n">
        <v>0</v>
      </c>
      <c r="G166" t="n">
        <v>2402.99</v>
      </c>
      <c r="H166" t="n">
        <v>100</v>
      </c>
      <c r="I166" t="n">
        <v>110</v>
      </c>
      <c r="J166" s="22">
        <f>H166*D166/I166</f>
        <v/>
      </c>
    </row>
    <row r="167">
      <c r="A167" t="n">
        <v>6000057</v>
      </c>
      <c r="B167" t="inlineStr">
        <is>
          <t>2000;2000</t>
        </is>
      </c>
      <c r="C167" t="inlineStr">
        <is>
          <t>BALDE PVC DOBLE CUBO C/ESCURRIDOR P/MOPA</t>
        </is>
      </c>
      <c r="D167" s="22" t="n">
        <v>3.0303</v>
      </c>
      <c r="E167" t="n">
        <v>2.06</v>
      </c>
      <c r="F167" t="n">
        <v>0</v>
      </c>
      <c r="G167" t="n">
        <v>7196.91</v>
      </c>
      <c r="H167" t="n">
        <v>100</v>
      </c>
      <c r="I167" t="n">
        <v>110</v>
      </c>
      <c r="J167" s="22">
        <f>H167*D167/I167</f>
        <v/>
      </c>
    </row>
    <row r="168">
      <c r="A168" t="n">
        <v>6000089</v>
      </c>
      <c r="B168" t="inlineStr">
        <is>
          <t>2000;2000</t>
        </is>
      </c>
      <c r="C168" t="inlineStr">
        <is>
          <t>CABO EXTENSIBLE ALUMINIO P/LIMP x 2 mts</t>
        </is>
      </c>
      <c r="D168" s="22" t="n">
        <v>0.1818181818181818</v>
      </c>
      <c r="E168" t="n">
        <v>0.72</v>
      </c>
      <c r="F168" t="n">
        <v>0</v>
      </c>
      <c r="G168" t="n">
        <v>6446.66</v>
      </c>
      <c r="H168" t="n">
        <v>100</v>
      </c>
      <c r="I168" t="n">
        <v>110</v>
      </c>
      <c r="J168" s="22">
        <f>H168*D168/I168</f>
        <v/>
      </c>
    </row>
    <row r="169">
      <c r="A169" t="n">
        <v>6000107</v>
      </c>
      <c r="B169" t="inlineStr">
        <is>
          <t>2000;2000</t>
        </is>
      </c>
      <c r="C169" t="inlineStr">
        <is>
          <t>CARTEL PVC LIVIANO (CUIDADO PISO MOJADO)</t>
        </is>
      </c>
      <c r="D169" s="22" t="n">
        <v>0.3030272727272727</v>
      </c>
      <c r="E169" t="n">
        <v>0.86</v>
      </c>
      <c r="F169" t="n">
        <v>0</v>
      </c>
      <c r="G169" t="n">
        <v>1745.6</v>
      </c>
      <c r="H169" t="n">
        <v>100</v>
      </c>
      <c r="I169" t="n">
        <v>110</v>
      </c>
      <c r="J169" s="22">
        <f>H169*D169/I169</f>
        <v/>
      </c>
    </row>
    <row r="170">
      <c r="A170" t="n">
        <v>6000302</v>
      </c>
      <c r="B170" t="inlineStr">
        <is>
          <t>2000;2000</t>
        </is>
      </c>
      <c r="C170" t="inlineStr">
        <is>
          <t>MEDIALUNA + EJE PARA BOCHERO AMARILLO</t>
        </is>
      </c>
      <c r="D170" s="22" t="n">
        <v>0.09090909090909091</v>
      </c>
      <c r="E170" t="n">
        <v>0.15</v>
      </c>
      <c r="F170" t="n">
        <v>0</v>
      </c>
      <c r="G170" t="n">
        <v>2706</v>
      </c>
      <c r="H170" t="n">
        <v>100</v>
      </c>
      <c r="I170" t="n">
        <v>110</v>
      </c>
      <c r="J170" s="22">
        <f>H170*D170/I170</f>
        <v/>
      </c>
    </row>
    <row r="171">
      <c r="A171" t="n">
        <v>6000333</v>
      </c>
      <c r="B171" t="inlineStr">
        <is>
          <t>2000;2000</t>
        </is>
      </c>
      <c r="C171" t="inlineStr">
        <is>
          <t>NUEZ MARIPOSA X 1/2 KG</t>
        </is>
      </c>
      <c r="D171" s="22" t="n">
        <v>0.1298727272727273</v>
      </c>
      <c r="E171" t="n">
        <v>0.5</v>
      </c>
      <c r="F171" t="n">
        <v>0</v>
      </c>
      <c r="G171" t="n">
        <v>2603.91</v>
      </c>
      <c r="H171" t="n">
        <v>100</v>
      </c>
      <c r="I171" t="n">
        <v>110</v>
      </c>
      <c r="J171" s="22">
        <f>H171*D171/I171</f>
        <v/>
      </c>
    </row>
    <row r="172">
      <c r="A172" t="n">
        <v>6000372</v>
      </c>
      <c r="B172" t="inlineStr">
        <is>
          <t>2000;2000</t>
        </is>
      </c>
      <c r="C172" t="inlineStr">
        <is>
          <t>PICO DECORADOR MOUSSE GRIS PARA CREMERA</t>
        </is>
      </c>
      <c r="D172" s="22" t="n">
        <v>0.09090909090909091</v>
      </c>
      <c r="E172" t="n">
        <v>0.01</v>
      </c>
      <c r="F172" t="n">
        <v>0</v>
      </c>
      <c r="G172" t="n">
        <v>1065.27</v>
      </c>
      <c r="H172" t="n">
        <v>100</v>
      </c>
      <c r="I172" t="n">
        <v>110</v>
      </c>
      <c r="J172" s="22">
        <f>H172*D172/I172</f>
        <v/>
      </c>
    </row>
    <row r="173">
      <c r="A173" t="n">
        <v>6000341</v>
      </c>
      <c r="B173" t="inlineStr">
        <is>
          <t>2000;2000</t>
        </is>
      </c>
      <c r="C173" t="inlineStr">
        <is>
          <t>PALA PLASTICA 1 mt. + ESCOBA PLÁSTICA</t>
        </is>
      </c>
      <c r="D173" s="22" t="n">
        <v>0.2272727272727273</v>
      </c>
      <c r="E173" t="n">
        <v>0.36</v>
      </c>
      <c r="F173" t="n">
        <v>0</v>
      </c>
      <c r="G173" t="n">
        <v>1215.24</v>
      </c>
      <c r="H173" t="n">
        <v>100</v>
      </c>
      <c r="I173" t="n">
        <v>110</v>
      </c>
      <c r="J173" s="22">
        <f>H173*D173/I173</f>
        <v/>
      </c>
    </row>
    <row r="174">
      <c r="A174" t="n">
        <v>6000336</v>
      </c>
      <c r="B174" t="inlineStr">
        <is>
          <t>2000;2000</t>
        </is>
      </c>
      <c r="C174" t="inlineStr">
        <is>
          <t>ORGANIZADOR CABOS BRAKET 23 CM</t>
        </is>
      </c>
      <c r="D174" s="22" t="n">
        <v>0.1818181818181818</v>
      </c>
      <c r="E174" t="n">
        <v>0.18</v>
      </c>
      <c r="F174" t="n">
        <v>0</v>
      </c>
      <c r="G174" t="n">
        <v>5139.32</v>
      </c>
      <c r="H174" t="n">
        <v>100</v>
      </c>
      <c r="I174" t="n">
        <v>110</v>
      </c>
      <c r="J174" s="22">
        <f>H174*D174/I174</f>
        <v/>
      </c>
    </row>
    <row r="175">
      <c r="A175" t="n">
        <v>6000417</v>
      </c>
      <c r="B175" t="inlineStr">
        <is>
          <t>2000;2000</t>
        </is>
      </c>
      <c r="C175" t="inlineStr">
        <is>
          <t>RESORTE PARA CREMERA</t>
        </is>
      </c>
      <c r="D175" s="22" t="n">
        <v>0.09090909090909091</v>
      </c>
      <c r="E175" t="n">
        <v>0</v>
      </c>
      <c r="F175" t="n">
        <v>0</v>
      </c>
      <c r="G175" t="n">
        <v>39.93</v>
      </c>
      <c r="H175" t="n">
        <v>100</v>
      </c>
      <c r="I175" t="n">
        <v>110</v>
      </c>
      <c r="J175" s="22">
        <f>H175*D175/I175</f>
        <v/>
      </c>
    </row>
    <row r="176">
      <c r="A176" t="n">
        <v>6000423</v>
      </c>
      <c r="B176" t="inlineStr">
        <is>
          <t>2000;2000</t>
        </is>
      </c>
      <c r="C176" t="inlineStr">
        <is>
          <t>ROLLO DUPLIC.FISCAL 75X30 GRIDO x 5UN</t>
        </is>
      </c>
      <c r="D176" s="22" t="n">
        <v>0.09090909090909091</v>
      </c>
      <c r="E176" t="n">
        <v>0.55</v>
      </c>
      <c r="F176" t="n">
        <v>0</v>
      </c>
      <c r="G176" t="n">
        <v>2200.26</v>
      </c>
      <c r="H176" t="n">
        <v>100</v>
      </c>
      <c r="I176" t="n">
        <v>110</v>
      </c>
      <c r="J176" s="22">
        <f>H176*D176/I176</f>
        <v/>
      </c>
    </row>
    <row r="177">
      <c r="A177" t="n">
        <v>6000461</v>
      </c>
      <c r="B177" t="inlineStr">
        <is>
          <t>2000;2000</t>
        </is>
      </c>
      <c r="C177" t="inlineStr">
        <is>
          <t>SORBETE SIN FUNDA XXL x 500 Unid.</t>
        </is>
      </c>
      <c r="D177" s="22" t="n">
        <v>0.3156545454545454</v>
      </c>
      <c r="E177" t="n">
        <v>0.3</v>
      </c>
      <c r="F177" t="n">
        <v>0</v>
      </c>
      <c r="G177" t="n">
        <v>2072.83</v>
      </c>
      <c r="H177" t="n">
        <v>100</v>
      </c>
      <c r="I177" t="n">
        <v>110</v>
      </c>
      <c r="J177" s="22">
        <f>H177*D177/I177</f>
        <v/>
      </c>
    </row>
    <row r="178">
      <c r="A178" t="n">
        <v>6000607</v>
      </c>
      <c r="B178" t="inlineStr">
        <is>
          <t>2000;2000</t>
        </is>
      </c>
      <c r="C178" t="inlineStr">
        <is>
          <t>CREMA CHANTILLY JAMER x 170 Grs x 16 Un.</t>
        </is>
      </c>
      <c r="D178" s="22" t="n">
        <v>0.6060636363636364</v>
      </c>
      <c r="E178" t="n">
        <v>3</v>
      </c>
      <c r="F178" t="n">
        <v>0</v>
      </c>
      <c r="G178" t="n">
        <v>6995.01</v>
      </c>
      <c r="H178" t="n">
        <v>100</v>
      </c>
      <c r="I178" t="n">
        <v>110</v>
      </c>
      <c r="J178" s="22">
        <f>H178*D178/I178</f>
        <v/>
      </c>
    </row>
    <row r="179">
      <c r="A179" t="n">
        <v>6000483</v>
      </c>
      <c r="B179" t="inlineStr">
        <is>
          <t>2000;2000</t>
        </is>
      </c>
      <c r="C179" t="inlineStr">
        <is>
          <t>TARJETA CLUB GRIDO X 500 UNID.</t>
        </is>
      </c>
      <c r="D179" s="22" t="n">
        <v>0.1818181818181818</v>
      </c>
      <c r="E179" t="n">
        <v>2.4</v>
      </c>
      <c r="F179" t="n">
        <v>0</v>
      </c>
      <c r="G179" t="n">
        <v>21939.26</v>
      </c>
      <c r="H179" t="n">
        <v>100</v>
      </c>
      <c r="I179" t="n">
        <v>110</v>
      </c>
      <c r="J179" s="22">
        <f>H179*D179/I179</f>
        <v/>
      </c>
    </row>
    <row r="180">
      <c r="A180" t="n">
        <v>6000201</v>
      </c>
      <c r="B180" t="inlineStr">
        <is>
          <t>2000;2000</t>
        </is>
      </c>
      <c r="C180" t="inlineStr">
        <is>
          <t>DISPENSER PARA JABON LÍQUIDO PVC BLANCO</t>
        </is>
      </c>
      <c r="D180" s="22" t="n">
        <v>0.7575727272727273</v>
      </c>
      <c r="E180" t="n">
        <v>0.34</v>
      </c>
      <c r="F180" t="n">
        <v>0</v>
      </c>
      <c r="G180" t="n">
        <v>1903.44</v>
      </c>
      <c r="H180" t="n">
        <v>100</v>
      </c>
      <c r="I180" t="n">
        <v>110</v>
      </c>
      <c r="J180" s="22">
        <f>H180*D180/I180</f>
        <v/>
      </c>
    </row>
    <row r="181">
      <c r="A181" t="n">
        <v>6000642</v>
      </c>
      <c r="B181" t="inlineStr">
        <is>
          <t>2000;2000</t>
        </is>
      </c>
      <c r="C181" t="inlineStr">
        <is>
          <t>MESA RATONA REDONDA NEBRASKA</t>
        </is>
      </c>
      <c r="D181" s="22" t="n">
        <v>15.15151818181818</v>
      </c>
      <c r="E181" t="n">
        <v>10.89</v>
      </c>
      <c r="F181" t="n">
        <v>0</v>
      </c>
      <c r="G181" t="n">
        <v>36834.23</v>
      </c>
      <c r="H181" t="n">
        <v>100</v>
      </c>
      <c r="I181" t="n">
        <v>110</v>
      </c>
      <c r="J181" s="22">
        <f>H181*D181/I181</f>
        <v/>
      </c>
    </row>
    <row r="182">
      <c r="A182" t="n">
        <v>6000749</v>
      </c>
      <c r="B182" t="inlineStr">
        <is>
          <t>2000;2000</t>
        </is>
      </c>
      <c r="C182" t="inlineStr">
        <is>
          <t>SALSA DE CARAMELO DOI PACK x120GR. x30UN</t>
        </is>
      </c>
      <c r="D182" s="22" t="n">
        <v>0.5411272727272728</v>
      </c>
      <c r="E182" t="n">
        <v>4.04</v>
      </c>
      <c r="F182" t="n">
        <v>0</v>
      </c>
      <c r="G182" t="n">
        <v>10553.4</v>
      </c>
      <c r="H182" t="n">
        <v>100</v>
      </c>
      <c r="I182" t="n">
        <v>110</v>
      </c>
      <c r="J182" s="22">
        <f>H182*D182/I182</f>
        <v/>
      </c>
    </row>
    <row r="183">
      <c r="A183" t="n">
        <v>6000745</v>
      </c>
      <c r="B183" t="inlineStr">
        <is>
          <t>2000;2000</t>
        </is>
      </c>
      <c r="C183" t="inlineStr">
        <is>
          <t>SALSA D. DE LECHE DOI PACK x120GR.x 30UN</t>
        </is>
      </c>
      <c r="D183" s="22" t="n">
        <v>0.5411272727272728</v>
      </c>
      <c r="E183" t="n">
        <v>3.92</v>
      </c>
      <c r="F183" t="n">
        <v>0</v>
      </c>
      <c r="G183" t="n">
        <v>10553.4</v>
      </c>
      <c r="H183" t="n">
        <v>100</v>
      </c>
      <c r="I183" t="n">
        <v>110</v>
      </c>
      <c r="J183" s="22">
        <f>H183*D183/I183</f>
        <v/>
      </c>
    </row>
    <row r="184">
      <c r="A184" t="n">
        <v>6000766</v>
      </c>
      <c r="B184" t="inlineStr">
        <is>
          <t>2000;2000</t>
        </is>
      </c>
      <c r="C184" t="inlineStr">
        <is>
          <t>BANQUETA MILO BASE GRIS X Unid.</t>
        </is>
      </c>
      <c r="D184" s="22" t="n">
        <v>15.15151818181818</v>
      </c>
      <c r="E184" t="n">
        <v>5.29</v>
      </c>
      <c r="F184" t="n">
        <v>0</v>
      </c>
      <c r="G184" t="n">
        <v>27230.57</v>
      </c>
      <c r="H184" t="n">
        <v>100</v>
      </c>
      <c r="I184" t="n">
        <v>110</v>
      </c>
      <c r="J184" s="22">
        <f>H184*D184/I184</f>
        <v/>
      </c>
    </row>
    <row r="185">
      <c r="A185" t="n">
        <v>6000747</v>
      </c>
      <c r="B185" t="inlineStr">
        <is>
          <t>2000;2000</t>
        </is>
      </c>
      <c r="C185" t="inlineStr">
        <is>
          <t>SALSA CHOCOLATE DOI PACK x120GR. x30UN</t>
        </is>
      </c>
      <c r="D185" s="22" t="n">
        <v>0.5411272727272728</v>
      </c>
      <c r="E185" t="n">
        <v>4.12</v>
      </c>
      <c r="F185" t="n">
        <v>0</v>
      </c>
      <c r="G185" t="n">
        <v>10553.4</v>
      </c>
      <c r="H185" t="n">
        <v>100</v>
      </c>
      <c r="I185" t="n">
        <v>110</v>
      </c>
      <c r="J185" s="22">
        <f>H185*D185/I185</f>
        <v/>
      </c>
    </row>
    <row r="186">
      <c r="A186" t="n">
        <v>6000748</v>
      </c>
      <c r="B186" t="inlineStr">
        <is>
          <t>2000;2000</t>
        </is>
      </c>
      <c r="C186" t="inlineStr">
        <is>
          <t>SALSA DE FRUTILLA DOI PACK x120GR. x30UN</t>
        </is>
      </c>
      <c r="D186" s="22" t="n">
        <v>0.5411272727272728</v>
      </c>
      <c r="E186" t="n">
        <v>4.08</v>
      </c>
      <c r="F186" t="n">
        <v>0</v>
      </c>
      <c r="G186" t="n">
        <v>10553.4</v>
      </c>
      <c r="H186" t="n">
        <v>100</v>
      </c>
      <c r="I186" t="n">
        <v>110</v>
      </c>
      <c r="J186" s="22">
        <f>H186*D186/I186</f>
        <v/>
      </c>
    </row>
    <row r="187">
      <c r="A187" t="n">
        <v>6000750</v>
      </c>
      <c r="B187" t="inlineStr">
        <is>
          <t>2000;2000</t>
        </is>
      </c>
      <c r="C187" t="inlineStr">
        <is>
          <t>SALSA F. DEL BOSQUE DOI PACK X120GR x30U</t>
        </is>
      </c>
      <c r="D187" s="22" t="n">
        <v>0.5411272727272728</v>
      </c>
      <c r="E187" t="n">
        <v>3.9</v>
      </c>
      <c r="F187" t="n">
        <v>0</v>
      </c>
      <c r="G187" t="n">
        <v>10553.4</v>
      </c>
      <c r="H187" t="n">
        <v>100</v>
      </c>
      <c r="I187" t="n">
        <v>110</v>
      </c>
      <c r="J187" s="22">
        <f>H187*D187/I187</f>
        <v/>
      </c>
    </row>
    <row r="188">
      <c r="A188" t="n">
        <v>6000074</v>
      </c>
      <c r="B188" t="inlineStr">
        <is>
          <t>2000;2000</t>
        </is>
      </c>
      <c r="C188" t="inlineStr">
        <is>
          <t>SOBRE P. KRAFT 16X06X36 GR.CAFE X 100 U</t>
        </is>
      </c>
      <c r="D188" s="22" t="n">
        <v>0.1818181818181818</v>
      </c>
      <c r="E188" t="n">
        <v>0.75</v>
      </c>
      <c r="F188" t="n">
        <v>0</v>
      </c>
      <c r="G188" t="n">
        <v>1894.2</v>
      </c>
      <c r="H188" t="n">
        <v>100</v>
      </c>
      <c r="I188" t="n">
        <v>110</v>
      </c>
      <c r="J188" s="22">
        <f>H188*D188/I188</f>
        <v/>
      </c>
    </row>
    <row r="189">
      <c r="A189" t="n">
        <v>6000334</v>
      </c>
      <c r="B189" t="inlineStr">
        <is>
          <t>2000;2000</t>
        </is>
      </c>
      <c r="C189" t="inlineStr">
        <is>
          <t>NUMERADORES</t>
        </is>
      </c>
      <c r="D189" s="22" t="n">
        <v>0.09090909090909091</v>
      </c>
      <c r="E189" t="n">
        <v>0.25</v>
      </c>
      <c r="F189" t="n">
        <v>0</v>
      </c>
      <c r="G189" t="n">
        <v>824.73</v>
      </c>
      <c r="H189" t="n">
        <v>100</v>
      </c>
      <c r="I189" t="n">
        <v>110</v>
      </c>
      <c r="J189" s="22">
        <f>H189*D189/I189</f>
        <v/>
      </c>
    </row>
    <row r="190">
      <c r="A190" t="n">
        <v>6000095</v>
      </c>
      <c r="B190" t="inlineStr">
        <is>
          <t>2000;2000</t>
        </is>
      </c>
      <c r="C190" t="inlineStr">
        <is>
          <t>CAMPE DELIVERY C/ GUATA T  XXL</t>
        </is>
      </c>
      <c r="D190" s="22" t="n">
        <v>0.5050545454545455</v>
      </c>
      <c r="E190" t="n">
        <v>0.74</v>
      </c>
      <c r="F190" t="n">
        <v>0</v>
      </c>
      <c r="G190" t="n">
        <v>11030.64</v>
      </c>
      <c r="H190" t="n">
        <v>100</v>
      </c>
      <c r="I190" t="n">
        <v>110</v>
      </c>
      <c r="J190" s="22">
        <f>H190*D190/I190</f>
        <v/>
      </c>
    </row>
    <row r="191">
      <c r="A191" t="n">
        <v>6000371</v>
      </c>
      <c r="B191" t="inlineStr">
        <is>
          <t>2000;2000</t>
        </is>
      </c>
      <c r="C191" t="inlineStr">
        <is>
          <t>PICO DECORADOR GRIS PARA CREMERA</t>
        </is>
      </c>
      <c r="D191" s="22" t="n">
        <v>0.09090909090909091</v>
      </c>
      <c r="E191" t="n">
        <v>0.01</v>
      </c>
      <c r="F191" t="n">
        <v>0</v>
      </c>
      <c r="G191" t="n">
        <v>1065.27</v>
      </c>
      <c r="H191" t="n">
        <v>100</v>
      </c>
      <c r="I191" t="n">
        <v>110</v>
      </c>
      <c r="J191" s="22">
        <f>H191*D191/I191</f>
        <v/>
      </c>
    </row>
    <row r="192">
      <c r="A192" t="n">
        <v>6000096</v>
      </c>
      <c r="B192" t="inlineStr">
        <is>
          <t>2000;2000</t>
        </is>
      </c>
      <c r="C192" t="inlineStr">
        <is>
          <t>CAMPE DELIVERY C/ GUATA T 16</t>
        </is>
      </c>
      <c r="D192" s="22" t="n">
        <v>0.5050545454545455</v>
      </c>
      <c r="E192" t="n">
        <v>0.54</v>
      </c>
      <c r="F192" t="n">
        <v>0</v>
      </c>
      <c r="G192" t="n">
        <v>11030.64</v>
      </c>
      <c r="H192" t="n">
        <v>100</v>
      </c>
      <c r="I192" t="n">
        <v>110</v>
      </c>
      <c r="J192" s="22">
        <f>H192*D192/I192</f>
        <v/>
      </c>
    </row>
    <row r="193">
      <c r="A193" t="n">
        <v>6000381</v>
      </c>
      <c r="B193" t="inlineStr">
        <is>
          <t>2000;2000</t>
        </is>
      </c>
      <c r="C193" t="inlineStr">
        <is>
          <t>PLOTEO MESA CUADRADA DE METAL INT/EXT</t>
        </is>
      </c>
      <c r="D193" s="22" t="n">
        <v>0.1818181818181818</v>
      </c>
      <c r="E193" t="n">
        <v>0.18</v>
      </c>
      <c r="F193" t="n">
        <v>0</v>
      </c>
      <c r="G193" t="n">
        <v>2837.53</v>
      </c>
      <c r="H193" t="n">
        <v>100</v>
      </c>
      <c r="I193" t="n">
        <v>110</v>
      </c>
      <c r="J193" s="22">
        <f>H193*D193/I193</f>
        <v/>
      </c>
    </row>
    <row r="194">
      <c r="A194" t="n">
        <v>6000416</v>
      </c>
      <c r="B194" t="inlineStr">
        <is>
          <t>2000;2000</t>
        </is>
      </c>
      <c r="C194" t="inlineStr">
        <is>
          <t>RESORTE GRANDE P/BOCHERO AZUL X 10 unid</t>
        </is>
      </c>
      <c r="D194" s="22" t="n">
        <v>0.09090909090909091</v>
      </c>
      <c r="E194" t="n">
        <v>0.01</v>
      </c>
      <c r="F194" t="n">
        <v>0</v>
      </c>
      <c r="G194" t="n">
        <v>1086.88</v>
      </c>
      <c r="H194" t="n">
        <v>100</v>
      </c>
      <c r="I194" t="n">
        <v>110</v>
      </c>
      <c r="J194" s="22">
        <f>H194*D194/I194</f>
        <v/>
      </c>
    </row>
    <row r="195">
      <c r="A195" t="n">
        <v>6000153</v>
      </c>
      <c r="B195" t="inlineStr">
        <is>
          <t>2000;2000</t>
        </is>
      </c>
      <c r="C195" t="inlineStr">
        <is>
          <t>COCTEL 4 FRUTAS X 820 GRS.</t>
        </is>
      </c>
      <c r="D195" s="22" t="n">
        <v>0.0789181818181818</v>
      </c>
      <c r="E195" t="n">
        <v>0.96</v>
      </c>
      <c r="F195" t="n">
        <v>0</v>
      </c>
      <c r="G195" t="n">
        <v>649.75</v>
      </c>
      <c r="H195" t="n">
        <v>100</v>
      </c>
      <c r="I195" t="n">
        <v>110</v>
      </c>
      <c r="J195" s="22">
        <f>H195*D195/I195</f>
        <v/>
      </c>
    </row>
    <row r="196">
      <c r="A196" t="n">
        <v>6000442</v>
      </c>
      <c r="B196" t="inlineStr">
        <is>
          <t>2000;2000</t>
        </is>
      </c>
      <c r="C196" t="inlineStr">
        <is>
          <t>SERVILLETERO DE ACRILICO PARA MESA</t>
        </is>
      </c>
      <c r="D196" s="22" t="n">
        <v>0.1818181818181818</v>
      </c>
      <c r="E196" t="n">
        <v>0.12</v>
      </c>
      <c r="F196" t="n">
        <v>0</v>
      </c>
      <c r="G196" t="n">
        <v>2154.16</v>
      </c>
      <c r="H196" t="n">
        <v>100</v>
      </c>
      <c r="I196" t="n">
        <v>110</v>
      </c>
      <c r="J196" s="22">
        <f>H196*D196/I196</f>
        <v/>
      </c>
    </row>
    <row r="197">
      <c r="A197" t="n">
        <v>6000172</v>
      </c>
      <c r="B197" t="inlineStr">
        <is>
          <t>2000;2000</t>
        </is>
      </c>
      <c r="C197" t="inlineStr">
        <is>
          <t>CREMA CHANTILLY AEROSOL TREGAR X 12 UN</t>
        </is>
      </c>
      <c r="D197" s="22" t="n">
        <v>0.1262636363636364</v>
      </c>
      <c r="E197" t="n">
        <v>3</v>
      </c>
      <c r="F197" t="n">
        <v>0</v>
      </c>
      <c r="G197" t="n">
        <v>5873.23</v>
      </c>
      <c r="H197" t="n">
        <v>100</v>
      </c>
      <c r="I197" t="n">
        <v>110</v>
      </c>
      <c r="J197" s="22">
        <f>H197*D197/I197</f>
        <v/>
      </c>
    </row>
    <row r="198">
      <c r="A198" t="n">
        <v>6000204</v>
      </c>
      <c r="B198" t="inlineStr">
        <is>
          <t>2000;2000</t>
        </is>
      </c>
      <c r="C198" t="inlineStr">
        <is>
          <t>DISPENSER PARA TOALLA EN ROLLO</t>
        </is>
      </c>
      <c r="D198" s="22" t="n">
        <v>0.2840909090909091</v>
      </c>
      <c r="E198" t="n">
        <v>0.79</v>
      </c>
      <c r="F198" t="n">
        <v>0</v>
      </c>
      <c r="G198" t="n">
        <v>3885.83</v>
      </c>
      <c r="H198" t="n">
        <v>100</v>
      </c>
      <c r="I198" t="n">
        <v>110</v>
      </c>
      <c r="J198" s="22">
        <f>H198*D198/I198</f>
        <v/>
      </c>
    </row>
    <row r="199">
      <c r="A199" t="n">
        <v>6000205</v>
      </c>
      <c r="B199" t="inlineStr">
        <is>
          <t>2000;2000</t>
        </is>
      </c>
      <c r="C199" t="inlineStr">
        <is>
          <t>DISPENSER P/TOALLA INTERCALADA A. INOX.</t>
        </is>
      </c>
      <c r="D199" s="22" t="n">
        <v>0.2272727272727273</v>
      </c>
      <c r="E199" t="n">
        <v>0.97</v>
      </c>
      <c r="F199" t="n">
        <v>0</v>
      </c>
      <c r="G199" t="n">
        <v>4794.84</v>
      </c>
      <c r="H199" t="n">
        <v>100</v>
      </c>
      <c r="I199" t="n">
        <v>110</v>
      </c>
      <c r="J199" s="22">
        <f>H199*D199/I199</f>
        <v/>
      </c>
    </row>
    <row r="200">
      <c r="A200" t="n">
        <v>6001004</v>
      </c>
      <c r="B200" t="inlineStr">
        <is>
          <t>2000;2000</t>
        </is>
      </c>
      <c r="C200" t="inlineStr">
        <is>
          <t>GRIDO TOPS COOKIE CHOCO.TROZOS X 204 UN</t>
        </is>
      </c>
      <c r="D200" s="22" t="n">
        <v>0.4208727272727273</v>
      </c>
      <c r="E200" t="n">
        <v>1.75</v>
      </c>
      <c r="F200" t="n">
        <v>0</v>
      </c>
      <c r="G200" t="n">
        <v>6849.14</v>
      </c>
      <c r="H200" t="n">
        <v>100</v>
      </c>
      <c r="I200" t="n">
        <v>110</v>
      </c>
      <c r="J200" s="22">
        <f>H200*D200/I200</f>
        <v/>
      </c>
    </row>
    <row r="201">
      <c r="A201" t="n">
        <v>6000974</v>
      </c>
      <c r="B201" t="inlineStr">
        <is>
          <t>2000;2000</t>
        </is>
      </c>
      <c r="C201" t="inlineStr">
        <is>
          <t>DULCE DE LECHE GRIDO 450 GR X 12 UN.</t>
        </is>
      </c>
      <c r="D201" s="22" t="n">
        <v>0.6060909090909091</v>
      </c>
      <c r="E201" t="n">
        <v>8.279999999999999</v>
      </c>
      <c r="F201" t="n">
        <v>0</v>
      </c>
      <c r="G201" t="n">
        <v>6463.65</v>
      </c>
      <c r="H201" t="n">
        <v>100</v>
      </c>
      <c r="I201" t="n">
        <v>110</v>
      </c>
      <c r="J201" s="22">
        <f>H201*D201/I201</f>
        <v/>
      </c>
    </row>
    <row r="202">
      <c r="A202" t="n">
        <v>6000975</v>
      </c>
      <c r="B202" t="inlineStr">
        <is>
          <t>2000;2000</t>
        </is>
      </c>
      <c r="C202" t="inlineStr">
        <is>
          <t>RELLENO MARROC GRIDO POTE 290 GR X 12 UN</t>
        </is>
      </c>
      <c r="D202" s="22" t="n">
        <v>0.5050545454545455</v>
      </c>
      <c r="E202" t="n">
        <v>3.9</v>
      </c>
      <c r="F202" t="n">
        <v>0</v>
      </c>
      <c r="G202" t="n">
        <v>4323.15</v>
      </c>
      <c r="H202" t="n">
        <v>100</v>
      </c>
      <c r="I202" t="n">
        <v>110</v>
      </c>
      <c r="J202" s="22">
        <f>H202*D202/I202</f>
        <v/>
      </c>
    </row>
    <row r="203">
      <c r="A203" t="n">
        <v>6000999</v>
      </c>
      <c r="B203" t="inlineStr">
        <is>
          <t>2000;2000</t>
        </is>
      </c>
      <c r="C203" t="inlineStr">
        <is>
          <t>GRIDO TOPS  MINI ROCKLETS X 204 UNID</t>
        </is>
      </c>
      <c r="D203" s="22" t="n">
        <v>0.4208727272727273</v>
      </c>
      <c r="E203" t="n">
        <v>3.06</v>
      </c>
      <c r="F203" t="n">
        <v>0</v>
      </c>
      <c r="G203" t="n">
        <v>6849.14</v>
      </c>
      <c r="H203" t="n">
        <v>100</v>
      </c>
      <c r="I203" t="n">
        <v>110</v>
      </c>
      <c r="J203" s="22">
        <f>H203*D203/I203</f>
        <v/>
      </c>
    </row>
    <row r="204">
      <c r="A204" t="n">
        <v>6000290</v>
      </c>
      <c r="B204" t="inlineStr">
        <is>
          <t>2000;2000</t>
        </is>
      </c>
      <c r="C204" t="inlineStr">
        <is>
          <t>LECHE LARGA VIDA 12 X 1 lt.</t>
        </is>
      </c>
      <c r="D204" s="22" t="n">
        <v>1.212118181818182</v>
      </c>
      <c r="E204" t="n">
        <v>12.93</v>
      </c>
      <c r="F204" t="n">
        <v>0</v>
      </c>
      <c r="G204" t="n">
        <v>4734.63</v>
      </c>
      <c r="H204" t="n">
        <v>100</v>
      </c>
      <c r="I204" t="n">
        <v>110</v>
      </c>
      <c r="J204" s="22">
        <f>H204*D204/I204</f>
        <v/>
      </c>
    </row>
    <row r="205">
      <c r="A205" t="n">
        <v>6001010</v>
      </c>
      <c r="B205" t="inlineStr">
        <is>
          <t>2000;2000</t>
        </is>
      </c>
      <c r="C205" t="inlineStr">
        <is>
          <t>GRIDO TOPS SALSA CHOCOLATE  X 204 UNID</t>
        </is>
      </c>
      <c r="D205" s="22" t="n">
        <v>0.4208727272727273</v>
      </c>
      <c r="E205" t="n">
        <v>3.25</v>
      </c>
      <c r="F205" t="n">
        <v>0</v>
      </c>
      <c r="G205" t="n">
        <v>5894.75</v>
      </c>
      <c r="H205" t="n">
        <v>100</v>
      </c>
      <c r="I205" t="n">
        <v>110</v>
      </c>
      <c r="J205" s="22">
        <f>H205*D205/I205</f>
        <v/>
      </c>
    </row>
    <row r="206">
      <c r="A206" t="n">
        <v>6001011</v>
      </c>
      <c r="B206" t="inlineStr">
        <is>
          <t>2000;2000</t>
        </is>
      </c>
      <c r="C206" t="inlineStr">
        <is>
          <t>GRIDO TOPS SALSA DULCE DE LECHE X 204 UN</t>
        </is>
      </c>
      <c r="D206" s="22" t="n">
        <v>0.4208727272727273</v>
      </c>
      <c r="E206" t="n">
        <v>3.29</v>
      </c>
      <c r="F206" t="n">
        <v>0</v>
      </c>
      <c r="G206" t="n">
        <v>5894.75</v>
      </c>
      <c r="H206" t="n">
        <v>100</v>
      </c>
      <c r="I206" t="n">
        <v>110</v>
      </c>
      <c r="J206" s="22">
        <f>H206*D206/I206</f>
        <v/>
      </c>
    </row>
    <row r="207">
      <c r="A207" t="n">
        <v>6000765</v>
      </c>
      <c r="B207" t="inlineStr">
        <is>
          <t>2000;2000</t>
        </is>
      </c>
      <c r="C207" t="inlineStr">
        <is>
          <t>BALANZA CROMA X UNID</t>
        </is>
      </c>
      <c r="D207" s="22" t="n">
        <v>2.525254545454545</v>
      </c>
      <c r="E207" t="n">
        <v>5.29</v>
      </c>
      <c r="F207" t="n">
        <v>0</v>
      </c>
      <c r="G207" t="n">
        <v>39731.97</v>
      </c>
      <c r="H207" t="n">
        <v>100</v>
      </c>
      <c r="I207" t="n">
        <v>110</v>
      </c>
      <c r="J207" s="22">
        <f>H207*D207/I207</f>
        <v/>
      </c>
    </row>
    <row r="208">
      <c r="A208" t="n">
        <v>6001151</v>
      </c>
      <c r="B208" t="inlineStr">
        <is>
          <t>2000;2000</t>
        </is>
      </c>
      <c r="C208" t="inlineStr">
        <is>
          <t>BANDEJA SANITISANTE DE GOMA X UNID</t>
        </is>
      </c>
      <c r="D208" s="22" t="n">
        <v>0.2597363636363637</v>
      </c>
      <c r="E208" t="n">
        <v>0.96</v>
      </c>
      <c r="F208" t="n">
        <v>0</v>
      </c>
      <c r="G208" t="n">
        <v>3460.57</v>
      </c>
      <c r="H208" t="n">
        <v>100</v>
      </c>
      <c r="I208" t="n">
        <v>110</v>
      </c>
      <c r="J208" s="22">
        <f>H208*D208/I208</f>
        <v/>
      </c>
    </row>
    <row r="209">
      <c r="A209" t="n">
        <v>6000394</v>
      </c>
      <c r="B209" t="inlineStr">
        <is>
          <t>2000;2000</t>
        </is>
      </c>
      <c r="C209" t="inlineStr">
        <is>
          <t>PULVERIZADOR 1 lt. (ENVASE + GATILLO)</t>
        </is>
      </c>
      <c r="D209" s="22" t="n">
        <v>0.2272727272727273</v>
      </c>
      <c r="E209" t="n">
        <v>0.08</v>
      </c>
      <c r="F209" t="n">
        <v>0</v>
      </c>
      <c r="G209" t="n">
        <v>419.23</v>
      </c>
      <c r="H209" t="n">
        <v>100</v>
      </c>
      <c r="I209" t="n">
        <v>110</v>
      </c>
      <c r="J209" s="22">
        <f>H209*D209/I209</f>
        <v/>
      </c>
    </row>
    <row r="210">
      <c r="A210" t="n">
        <v>6000480</v>
      </c>
      <c r="B210" t="inlineStr">
        <is>
          <t>2000;2000</t>
        </is>
      </c>
      <c r="C210" t="inlineStr">
        <is>
          <t>TAPA VAIVEN (CESTO DE BASURA 50 LTS)</t>
        </is>
      </c>
      <c r="D210" s="22" t="n">
        <v>0.6060636363636364</v>
      </c>
      <c r="E210" t="n">
        <v>0.5</v>
      </c>
      <c r="F210" t="n">
        <v>0</v>
      </c>
      <c r="G210" t="n">
        <v>3111.44</v>
      </c>
      <c r="H210" t="n">
        <v>100</v>
      </c>
      <c r="I210" t="n">
        <v>110</v>
      </c>
      <c r="J210" s="22">
        <f>H210*D210/I210</f>
        <v/>
      </c>
    </row>
    <row r="211">
      <c r="A211" t="n">
        <v>6001014</v>
      </c>
      <c r="B211" t="inlineStr">
        <is>
          <t>2000;2000</t>
        </is>
      </c>
      <c r="C211" t="inlineStr">
        <is>
          <t>GRIDO TOPS SALSA FRUTILLA X 204 UNID</t>
        </is>
      </c>
      <c r="D211" s="22" t="n">
        <v>0.4208727272727273</v>
      </c>
      <c r="E211" t="n">
        <v>3.12</v>
      </c>
      <c r="F211" t="n">
        <v>0</v>
      </c>
      <c r="G211" t="n">
        <v>5894.75</v>
      </c>
      <c r="H211" t="n">
        <v>100</v>
      </c>
      <c r="I211" t="n">
        <v>110</v>
      </c>
      <c r="J211" s="22">
        <f>H211*D211/I211</f>
        <v/>
      </c>
    </row>
    <row r="212">
      <c r="A212" t="n">
        <v>6001092</v>
      </c>
      <c r="B212" t="inlineStr">
        <is>
          <t>2000;2000</t>
        </is>
      </c>
      <c r="C212" t="inlineStr">
        <is>
          <t>CAPUCCINO ESTILO ITALIANO PAQ X 125 GRS</t>
        </is>
      </c>
      <c r="D212" s="22" t="n">
        <v>0.05050909090909091</v>
      </c>
      <c r="E212" t="n">
        <v>0.14</v>
      </c>
      <c r="F212" t="n">
        <v>0</v>
      </c>
      <c r="G212" t="n">
        <v>462.19</v>
      </c>
      <c r="H212" t="n">
        <v>100</v>
      </c>
      <c r="I212" t="n">
        <v>110</v>
      </c>
      <c r="J212" s="22">
        <f>H212*D212/I212</f>
        <v/>
      </c>
    </row>
    <row r="213">
      <c r="A213" t="n">
        <v>6001073</v>
      </c>
      <c r="B213" t="inlineStr">
        <is>
          <t>2000;2000</t>
        </is>
      </c>
      <c r="C213" t="inlineStr">
        <is>
          <t>POTE 1/4 ESTISOL X 580 UNID.</t>
        </is>
      </c>
      <c r="D213" s="22" t="n">
        <v>3.636363636363636</v>
      </c>
      <c r="E213" t="n">
        <v>5.43</v>
      </c>
      <c r="F213" t="n">
        <v>0</v>
      </c>
      <c r="G213" t="n">
        <v>21248.96</v>
      </c>
      <c r="H213" t="n">
        <v>100</v>
      </c>
      <c r="I213" t="n">
        <v>110</v>
      </c>
      <c r="J213" s="22">
        <f>H213*D213/I213</f>
        <v/>
      </c>
    </row>
    <row r="214">
      <c r="A214" t="n">
        <v>6001076</v>
      </c>
      <c r="B214" t="inlineStr">
        <is>
          <t>2000;2000</t>
        </is>
      </c>
      <c r="C214" t="inlineStr">
        <is>
          <t>DISPLAY x6 EST. CAPSULAS CAFE INTERMEDIO</t>
        </is>
      </c>
      <c r="D214" s="22" t="n">
        <v>0.2525272727272728</v>
      </c>
      <c r="E214" t="n">
        <v>0.54</v>
      </c>
      <c r="F214" t="n">
        <v>0</v>
      </c>
      <c r="G214" t="n">
        <v>5246.45</v>
      </c>
      <c r="H214" t="n">
        <v>100</v>
      </c>
      <c r="I214" t="n">
        <v>110</v>
      </c>
      <c r="J214" s="22">
        <f>H214*D214/I214</f>
        <v/>
      </c>
    </row>
    <row r="215">
      <c r="A215" t="n">
        <v>6001114</v>
      </c>
      <c r="B215" t="inlineStr">
        <is>
          <t>2000;2000</t>
        </is>
      </c>
      <c r="C215" t="inlineStr">
        <is>
          <t>GRIDO TOPS CHOS ÁGUILA BLANCO X 204 UNID</t>
        </is>
      </c>
      <c r="D215" s="22" t="n">
        <v>0.4208181818181818</v>
      </c>
      <c r="E215" t="n">
        <v>3.06</v>
      </c>
      <c r="F215" t="n">
        <v>0</v>
      </c>
      <c r="G215" t="n">
        <v>7116.22</v>
      </c>
      <c r="H215" t="n">
        <v>100</v>
      </c>
      <c r="I215" t="n">
        <v>110</v>
      </c>
      <c r="J215" s="22">
        <f>H215*D215/I215</f>
        <v/>
      </c>
    </row>
    <row r="216">
      <c r="A216" t="n">
        <v>6001141</v>
      </c>
      <c r="B216" t="inlineStr">
        <is>
          <t>2000;2000</t>
        </is>
      </c>
      <c r="C216" t="inlineStr">
        <is>
          <t>CARETA FACIAL REFORZADA X UNID</t>
        </is>
      </c>
      <c r="D216" s="22" t="n">
        <v>0.09090909090909091</v>
      </c>
      <c r="E216" t="n">
        <v>0.16</v>
      </c>
      <c r="F216" t="n">
        <v>0</v>
      </c>
      <c r="G216" t="n">
        <v>774.66</v>
      </c>
      <c r="H216" t="n">
        <v>100</v>
      </c>
      <c r="I216" t="n">
        <v>110</v>
      </c>
      <c r="J216" s="22">
        <f>H216*D216/I216</f>
        <v/>
      </c>
    </row>
    <row r="217">
      <c r="A217" t="n">
        <v>6001113</v>
      </c>
      <c r="B217" t="inlineStr">
        <is>
          <t>2000;2000</t>
        </is>
      </c>
      <c r="C217" t="inlineStr">
        <is>
          <t>GRIDO TOPS CHOC AGUILA NEGRO  X 204 UNID</t>
        </is>
      </c>
      <c r="D217" s="22" t="n">
        <v>0.4208181818181818</v>
      </c>
      <c r="E217" t="n">
        <v>3.06</v>
      </c>
      <c r="F217" t="n">
        <v>0</v>
      </c>
      <c r="G217" t="n">
        <v>7116.22</v>
      </c>
      <c r="H217" t="n">
        <v>100</v>
      </c>
      <c r="I217" t="n">
        <v>110</v>
      </c>
      <c r="J217" s="22">
        <f>H217*D217/I217</f>
        <v/>
      </c>
    </row>
    <row r="218">
      <c r="A218" t="n">
        <v>6001074</v>
      </c>
      <c r="B218" t="inlineStr">
        <is>
          <t>2000;2000</t>
        </is>
      </c>
      <c r="C218" t="inlineStr">
        <is>
          <t>TAPA P/ POTE 1/4 ESTISOL X 580 UNDID.</t>
        </is>
      </c>
      <c r="D218" s="22" t="n">
        <v>2.525254545454545</v>
      </c>
      <c r="E218" t="n">
        <v>2.16</v>
      </c>
      <c r="F218" t="n">
        <v>0</v>
      </c>
      <c r="G218" t="n">
        <v>5506.46</v>
      </c>
      <c r="H218" t="n">
        <v>100</v>
      </c>
      <c r="I218" t="n">
        <v>110</v>
      </c>
      <c r="J218" s="22">
        <f>H218*D218/I218</f>
        <v/>
      </c>
    </row>
    <row r="219">
      <c r="A219" t="n">
        <v>6000973</v>
      </c>
      <c r="B219" t="inlineStr">
        <is>
          <t>2000;2000</t>
        </is>
      </c>
      <c r="C219" t="inlineStr">
        <is>
          <t>MERMELADA FRUTILLA GRIDO 454 GR X 12 UN</t>
        </is>
      </c>
      <c r="D219" s="22" t="n">
        <v>0.6060636363636364</v>
      </c>
      <c r="E219" t="n">
        <v>8.199999999999999</v>
      </c>
      <c r="F219" t="n">
        <v>0</v>
      </c>
      <c r="G219" t="n">
        <v>5801.34</v>
      </c>
      <c r="H219" t="n">
        <v>100</v>
      </c>
      <c r="I219" t="n">
        <v>110</v>
      </c>
      <c r="J219" s="22">
        <f>H219*D219/I219</f>
        <v/>
      </c>
    </row>
    <row r="220">
      <c r="A220" t="n">
        <v>6001360</v>
      </c>
      <c r="B220" t="inlineStr">
        <is>
          <t>2000;2000</t>
        </is>
      </c>
      <c r="C220" t="inlineStr">
        <is>
          <t>JEANS AZUL GRIDO DAMA T36 LOGO NUEVO</t>
        </is>
      </c>
      <c r="D220" s="22" t="n">
        <v>0.1818181818181818</v>
      </c>
      <c r="E220" t="n">
        <v>0.32</v>
      </c>
      <c r="F220" t="n">
        <v>0</v>
      </c>
      <c r="G220" t="n">
        <v>7234.52</v>
      </c>
      <c r="H220" t="n">
        <v>100</v>
      </c>
      <c r="I220" t="n">
        <v>110</v>
      </c>
      <c r="J220" s="22">
        <f>H220*D220/I220</f>
        <v/>
      </c>
    </row>
    <row r="221">
      <c r="A221" t="n">
        <v>6001370</v>
      </c>
      <c r="B221" t="inlineStr">
        <is>
          <t>2000;2000</t>
        </is>
      </c>
      <c r="C221" t="inlineStr">
        <is>
          <t>JEANS AZUL GRIDO HOMBRE T42 LOGO NUEVO</t>
        </is>
      </c>
      <c r="D221" s="22" t="n">
        <v>0.1818181818181818</v>
      </c>
      <c r="E221" t="n">
        <v>0.46</v>
      </c>
      <c r="F221" t="n">
        <v>0</v>
      </c>
      <c r="G221" t="n">
        <v>7234.52</v>
      </c>
      <c r="H221" t="n">
        <v>100</v>
      </c>
      <c r="I221" t="n">
        <v>110</v>
      </c>
      <c r="J221" s="22">
        <f>H221*D221/I221</f>
        <v/>
      </c>
    </row>
    <row r="222">
      <c r="A222" t="n">
        <v>6001359</v>
      </c>
      <c r="B222" t="inlineStr">
        <is>
          <t>2000;2000</t>
        </is>
      </c>
      <c r="C222" t="inlineStr">
        <is>
          <t>JEANS AZUL GRIDO DAMA T34 LOGO NUEVO</t>
        </is>
      </c>
      <c r="D222" s="22" t="n">
        <v>0.1818181818181818</v>
      </c>
      <c r="E222" t="n">
        <v>0.36</v>
      </c>
      <c r="F222" t="n">
        <v>0</v>
      </c>
      <c r="G222" t="n">
        <v>7234.52</v>
      </c>
      <c r="H222" t="n">
        <v>100</v>
      </c>
      <c r="I222" t="n">
        <v>110</v>
      </c>
      <c r="J222" s="22">
        <f>H222*D222/I222</f>
        <v/>
      </c>
    </row>
    <row r="223">
      <c r="A223" t="n">
        <v>6001364</v>
      </c>
      <c r="B223" t="inlineStr">
        <is>
          <t>2000;2000</t>
        </is>
      </c>
      <c r="C223" t="inlineStr">
        <is>
          <t>JEANS AZUL GRIDO DAMA T44 LOGO NUEVO</t>
        </is>
      </c>
      <c r="D223" s="22" t="n">
        <v>0.1818181818181818</v>
      </c>
      <c r="E223" t="n">
        <v>0.42</v>
      </c>
      <c r="F223" t="n">
        <v>0</v>
      </c>
      <c r="G223" t="n">
        <v>7234.52</v>
      </c>
      <c r="H223" t="n">
        <v>100</v>
      </c>
      <c r="I223" t="n">
        <v>110</v>
      </c>
      <c r="J223" s="22">
        <f>H223*D223/I223</f>
        <v/>
      </c>
    </row>
    <row r="224">
      <c r="A224" t="n">
        <v>6001361</v>
      </c>
      <c r="B224" t="inlineStr">
        <is>
          <t>2000;2000</t>
        </is>
      </c>
      <c r="C224" t="inlineStr">
        <is>
          <t>JEANS AZUL GRIDO DAMA T38 LOGO NUEVO</t>
        </is>
      </c>
      <c r="D224" s="22" t="n">
        <v>0.1818181818181818</v>
      </c>
      <c r="E224" t="n">
        <v>0.34</v>
      </c>
      <c r="F224" t="n">
        <v>0</v>
      </c>
      <c r="G224" t="n">
        <v>7234.52</v>
      </c>
      <c r="H224" t="n">
        <v>100</v>
      </c>
      <c r="I224" t="n">
        <v>110</v>
      </c>
      <c r="J224" s="22">
        <f>H224*D224/I224</f>
        <v/>
      </c>
    </row>
    <row r="225">
      <c r="A225" t="n">
        <v>6001363</v>
      </c>
      <c r="B225" t="inlineStr">
        <is>
          <t>2000;2000</t>
        </is>
      </c>
      <c r="C225" t="inlineStr">
        <is>
          <t>JEANS AZUL GRIDO DAMA T42 LOGO NUEVO</t>
        </is>
      </c>
      <c r="D225" s="22" t="n">
        <v>0.1818181818181818</v>
      </c>
      <c r="E225" t="n">
        <v>0.36</v>
      </c>
      <c r="F225" t="n">
        <v>0</v>
      </c>
      <c r="G225" t="n">
        <v>7234.52</v>
      </c>
      <c r="H225" t="n">
        <v>100</v>
      </c>
      <c r="I225" t="n">
        <v>110</v>
      </c>
      <c r="J225" s="22">
        <f>H225*D225/I225</f>
        <v/>
      </c>
    </row>
    <row r="226">
      <c r="A226" t="n">
        <v>6001368</v>
      </c>
      <c r="B226" t="inlineStr">
        <is>
          <t>2000;2000</t>
        </is>
      </c>
      <c r="C226" t="inlineStr">
        <is>
          <t>JEANS AZUL GRIDO HOMBRE T38 LOGO NUEVO</t>
        </is>
      </c>
      <c r="D226" s="22" t="n">
        <v>0.1818181818181818</v>
      </c>
      <c r="E226" t="n">
        <v>0.39</v>
      </c>
      <c r="F226" t="n">
        <v>0</v>
      </c>
      <c r="G226" t="n">
        <v>7234.52</v>
      </c>
      <c r="H226" t="n">
        <v>100</v>
      </c>
      <c r="I226" t="n">
        <v>110</v>
      </c>
      <c r="J226" s="22">
        <f>H226*D226/I226</f>
        <v/>
      </c>
    </row>
    <row r="227">
      <c r="A227" t="n">
        <v>6001369</v>
      </c>
      <c r="B227" t="inlineStr">
        <is>
          <t>2000;2000</t>
        </is>
      </c>
      <c r="C227" t="inlineStr">
        <is>
          <t>JEANS AZUL GRIDO HOMBRE T40 LOGO NUEVO</t>
        </is>
      </c>
      <c r="D227" s="22" t="n">
        <v>0.1818181818181818</v>
      </c>
      <c r="E227" t="n">
        <v>0.38</v>
      </c>
      <c r="F227" t="n">
        <v>0</v>
      </c>
      <c r="G227" t="n">
        <v>7234.52</v>
      </c>
      <c r="H227" t="n">
        <v>100</v>
      </c>
      <c r="I227" t="n">
        <v>110</v>
      </c>
      <c r="J227" s="22">
        <f>H227*D227/I227</f>
        <v/>
      </c>
    </row>
    <row r="228">
      <c r="A228" t="n">
        <v>6001374</v>
      </c>
      <c r="B228" t="inlineStr">
        <is>
          <t>2000;2000</t>
        </is>
      </c>
      <c r="C228" t="inlineStr">
        <is>
          <t>JEANS AZUL GRIDO HOMBRE T50 LOGO NUEVO</t>
        </is>
      </c>
      <c r="D228" s="22" t="n">
        <v>0.2272727272727273</v>
      </c>
      <c r="E228" t="n">
        <v>0.52</v>
      </c>
      <c r="F228" t="n">
        <v>0</v>
      </c>
      <c r="G228" t="n">
        <v>7234.52</v>
      </c>
      <c r="H228" t="n">
        <v>100</v>
      </c>
      <c r="I228" t="n">
        <v>110</v>
      </c>
      <c r="J228" s="22">
        <f>H228*D228/I228</f>
        <v/>
      </c>
    </row>
    <row r="229">
      <c r="A229" t="n">
        <v>6001388</v>
      </c>
      <c r="B229" t="inlineStr">
        <is>
          <t>2000;2000</t>
        </is>
      </c>
      <c r="C229" t="inlineStr">
        <is>
          <t>CUCHARA GRIDO FELIZ X 3,5 KG</t>
        </is>
      </c>
      <c r="D229" s="22" t="n">
        <v>0.8116909090909091</v>
      </c>
      <c r="E229" t="n">
        <v>3.75</v>
      </c>
      <c r="F229" t="n">
        <v>0</v>
      </c>
      <c r="G229" t="n">
        <v>8297.67</v>
      </c>
      <c r="H229" t="n">
        <v>100</v>
      </c>
      <c r="I229" t="n">
        <v>110</v>
      </c>
      <c r="J229" s="22">
        <f>H229*D229/I229</f>
        <v/>
      </c>
    </row>
    <row r="230">
      <c r="A230" t="n">
        <v>6001387</v>
      </c>
      <c r="B230" t="inlineStr">
        <is>
          <t>2000;2000</t>
        </is>
      </c>
      <c r="C230" t="inlineStr">
        <is>
          <t>TOALLA INTERC BLANCA (2500 unid) FELPITA</t>
        </is>
      </c>
      <c r="D230" s="22" t="n">
        <v>1.262627272727273</v>
      </c>
      <c r="E230" t="n">
        <v>2.5</v>
      </c>
      <c r="F230" t="n">
        <v>0</v>
      </c>
      <c r="G230" t="n">
        <v>5993.99</v>
      </c>
      <c r="H230" t="n">
        <v>100</v>
      </c>
      <c r="I230" t="n">
        <v>110</v>
      </c>
      <c r="J230" s="22">
        <f>H230*D230/I230</f>
        <v/>
      </c>
    </row>
    <row r="231">
      <c r="A231" t="n">
        <v>6001386</v>
      </c>
      <c r="B231" t="inlineStr">
        <is>
          <t>2000;2000</t>
        </is>
      </c>
      <c r="C231" t="inlineStr">
        <is>
          <t>PAPEL HIGIÉNICO 8 ROLLOS X 300 mts. FELP</t>
        </is>
      </c>
      <c r="D231" s="22" t="n">
        <v>1.262627272727273</v>
      </c>
      <c r="E231" t="n">
        <v>3.9</v>
      </c>
      <c r="F231" t="n">
        <v>0</v>
      </c>
      <c r="G231" t="n">
        <v>5893.26</v>
      </c>
      <c r="H231" t="n">
        <v>100</v>
      </c>
      <c r="I231" t="n">
        <v>110</v>
      </c>
      <c r="J231" s="22">
        <f>H231*D231/I231</f>
        <v/>
      </c>
    </row>
    <row r="232">
      <c r="A232" t="n">
        <v>6001075</v>
      </c>
      <c r="B232" t="inlineStr">
        <is>
          <t>2000;2000</t>
        </is>
      </c>
      <c r="C232" t="inlineStr">
        <is>
          <t>DISPLAY x6 ESTUCHES CAPSULAS CAFE SUAVE</t>
        </is>
      </c>
      <c r="D232" s="22" t="n">
        <v>0.2525272727272728</v>
      </c>
      <c r="E232" t="n">
        <v>0.53</v>
      </c>
      <c r="F232" t="n">
        <v>0</v>
      </c>
      <c r="G232" t="n">
        <v>5246.45</v>
      </c>
      <c r="H232" t="n">
        <v>100</v>
      </c>
      <c r="I232" t="n">
        <v>110</v>
      </c>
      <c r="J232" s="22">
        <f>H232*D232/I232</f>
        <v/>
      </c>
    </row>
    <row r="233">
      <c r="A233" t="n">
        <v>6001391</v>
      </c>
      <c r="B233" t="inlineStr">
        <is>
          <t>2000;2000</t>
        </is>
      </c>
      <c r="C233" t="inlineStr">
        <is>
          <t>VELAS CON FORMAS X 100 UNID</t>
        </is>
      </c>
      <c r="D233" s="22" t="n">
        <v>0.7575727272727273</v>
      </c>
      <c r="E233" t="n">
        <v>1.68</v>
      </c>
      <c r="F233" t="n">
        <v>0</v>
      </c>
      <c r="G233" t="n">
        <v>13379.64</v>
      </c>
      <c r="H233" t="n">
        <v>100</v>
      </c>
      <c r="I233" t="n">
        <v>110</v>
      </c>
      <c r="J233" s="22">
        <f>H233*D233/I233</f>
        <v/>
      </c>
    </row>
    <row r="234">
      <c r="A234" t="n">
        <v>6001389</v>
      </c>
      <c r="B234" t="inlineStr">
        <is>
          <t>2000;2000</t>
        </is>
      </c>
      <c r="C234" t="inlineStr">
        <is>
          <t>ROLLO DE COCINA X 3UN (120PAÑOS) FELPITA</t>
        </is>
      </c>
      <c r="D234" s="22" t="n">
        <v>0.3246727272727273</v>
      </c>
      <c r="E234" t="n">
        <v>0.24</v>
      </c>
      <c r="F234" t="n">
        <v>0</v>
      </c>
      <c r="G234" t="n">
        <v>392.32</v>
      </c>
      <c r="H234" t="n">
        <v>100</v>
      </c>
      <c r="I234" t="n">
        <v>110</v>
      </c>
      <c r="J234" s="22">
        <f>H234*D234/I234</f>
        <v/>
      </c>
    </row>
    <row r="235">
      <c r="A235" t="n">
        <v>6001403</v>
      </c>
      <c r="B235" t="inlineStr">
        <is>
          <t>2000;2000</t>
        </is>
      </c>
      <c r="C235" t="inlineStr">
        <is>
          <t>CAMPERA FRISA NUEVO MODELO T. XXS</t>
        </is>
      </c>
      <c r="D235" s="22" t="n">
        <v>0.2525272727272728</v>
      </c>
      <c r="E235" t="n">
        <v>0.48</v>
      </c>
      <c r="F235" t="n">
        <v>0</v>
      </c>
      <c r="G235" t="n">
        <v>11940.47</v>
      </c>
      <c r="H235" t="n">
        <v>100</v>
      </c>
      <c r="I235" t="n">
        <v>110</v>
      </c>
      <c r="J235" s="22">
        <f>H235*D235/I235</f>
        <v/>
      </c>
    </row>
    <row r="236">
      <c r="A236" t="n">
        <v>6001077</v>
      </c>
      <c r="B236" t="inlineStr">
        <is>
          <t>2000;2000</t>
        </is>
      </c>
      <c r="C236" t="inlineStr">
        <is>
          <t>DISPLAY x6 ESTUCHES CAPSULAS CAFE FUERTE</t>
        </is>
      </c>
      <c r="D236" s="22" t="n">
        <v>0.2525272727272728</v>
      </c>
      <c r="E236" t="n">
        <v>0.53</v>
      </c>
      <c r="F236" t="n">
        <v>0</v>
      </c>
      <c r="G236" t="n">
        <v>5246.45</v>
      </c>
      <c r="H236" t="n">
        <v>100</v>
      </c>
      <c r="I236" t="n">
        <v>110</v>
      </c>
      <c r="J236" s="22">
        <f>H236*D236/I236</f>
        <v/>
      </c>
    </row>
    <row r="237">
      <c r="A237" t="n">
        <v>6001431</v>
      </c>
      <c r="B237" t="inlineStr">
        <is>
          <t>2000;2000</t>
        </is>
      </c>
      <c r="C237" t="inlineStr">
        <is>
          <t>REPUESTO MOPA BALDE CENTRIF. NOVICA x UN</t>
        </is>
      </c>
      <c r="D237" s="22" t="n">
        <v>0.09090909090909091</v>
      </c>
      <c r="E237" t="n">
        <v>0.14</v>
      </c>
      <c r="F237" t="n">
        <v>0</v>
      </c>
      <c r="G237" t="n">
        <v>1110.14</v>
      </c>
      <c r="H237" t="n">
        <v>100</v>
      </c>
      <c r="I237" t="n">
        <v>110</v>
      </c>
      <c r="J237" s="22">
        <f>H237*D237/I237</f>
        <v/>
      </c>
    </row>
    <row r="238">
      <c r="A238" t="n">
        <v>6001140</v>
      </c>
      <c r="B238" t="inlineStr">
        <is>
          <t>2000;2000</t>
        </is>
      </c>
      <c r="C238" t="inlineStr">
        <is>
          <t>PORTA VASO DOBLE X 50 UNID</t>
        </is>
      </c>
      <c r="D238" s="22" t="n">
        <v>0.2272727272727273</v>
      </c>
      <c r="E238" t="n">
        <v>1.04</v>
      </c>
      <c r="F238" t="n">
        <v>0</v>
      </c>
      <c r="G238" t="n">
        <v>11404.22</v>
      </c>
      <c r="H238" t="n">
        <v>100</v>
      </c>
      <c r="I238" t="n">
        <v>110</v>
      </c>
      <c r="J238" s="22">
        <f>H238*D238/I238</f>
        <v/>
      </c>
    </row>
    <row r="239">
      <c r="A239" t="n">
        <v>6000682</v>
      </c>
      <c r="B239" t="inlineStr">
        <is>
          <t>2000;2000</t>
        </is>
      </c>
      <c r="C239" t="inlineStr">
        <is>
          <t>CAMPERA FRISA NUEVO MODELO T. XS</t>
        </is>
      </c>
      <c r="D239" s="22" t="n">
        <v>0.2525272727272728</v>
      </c>
      <c r="E239" t="n">
        <v>0.51</v>
      </c>
      <c r="F239" t="n">
        <v>0</v>
      </c>
      <c r="G239" t="n">
        <v>11940.47</v>
      </c>
      <c r="H239" t="n">
        <v>100</v>
      </c>
      <c r="I239" t="n">
        <v>110</v>
      </c>
      <c r="J239" s="22">
        <f>H239*D239/I239</f>
        <v/>
      </c>
    </row>
    <row r="240">
      <c r="A240" t="n">
        <v>6000774</v>
      </c>
      <c r="B240" t="inlineStr">
        <is>
          <t>2000;2000</t>
        </is>
      </c>
      <c r="C240" t="inlineStr">
        <is>
          <t>MATARAZZO LASAGNA PRE COCIDA X 400 GRS</t>
        </is>
      </c>
      <c r="D240" s="22" t="n">
        <v>0.09090909090909091</v>
      </c>
      <c r="E240" t="n">
        <v>0.4</v>
      </c>
      <c r="F240" t="n">
        <v>0</v>
      </c>
      <c r="G240" t="n">
        <v>391.36</v>
      </c>
      <c r="H240" t="n">
        <v>100</v>
      </c>
      <c r="I240" t="n">
        <v>110</v>
      </c>
      <c r="J240" s="22">
        <f>H240*D240/I240</f>
        <v/>
      </c>
    </row>
    <row r="241">
      <c r="A241" t="n">
        <v>6001414</v>
      </c>
      <c r="B241" t="inlineStr">
        <is>
          <t>2000;2000</t>
        </is>
      </c>
      <c r="C241" t="inlineStr">
        <is>
          <t>CEPILLO SANITARIO CON POTE BETTANIN X UN</t>
        </is>
      </c>
      <c r="D241" s="22" t="n">
        <v>0.1818181818181818</v>
      </c>
      <c r="E241" t="n">
        <v>0.11</v>
      </c>
      <c r="F241" t="n">
        <v>0</v>
      </c>
      <c r="G241" t="n">
        <v>550.78</v>
      </c>
      <c r="H241" t="n">
        <v>100</v>
      </c>
      <c r="I241" t="n">
        <v>110</v>
      </c>
      <c r="J241" s="22">
        <f>H241*D241/I241</f>
        <v/>
      </c>
    </row>
    <row r="242">
      <c r="A242" t="n">
        <v>6001436</v>
      </c>
      <c r="B242" t="inlineStr">
        <is>
          <t>2000;2000</t>
        </is>
      </c>
      <c r="C242" t="inlineStr">
        <is>
          <t>VITINA CLÁSICA C/ FUENTE DE CALCIO X 500</t>
        </is>
      </c>
      <c r="D242" s="22" t="n">
        <v>0.1818181818181818</v>
      </c>
      <c r="E242" t="n">
        <v>0.54</v>
      </c>
      <c r="F242" t="n">
        <v>0</v>
      </c>
      <c r="G242" t="n">
        <v>283.86</v>
      </c>
      <c r="H242" t="n">
        <v>100</v>
      </c>
      <c r="I242" t="n">
        <v>110</v>
      </c>
      <c r="J242" s="22">
        <f>H242*D242/I242</f>
        <v/>
      </c>
    </row>
    <row r="243">
      <c r="A243" t="n">
        <v>6001109</v>
      </c>
      <c r="B243" t="inlineStr">
        <is>
          <t>2000;2000</t>
        </is>
      </c>
      <c r="C243" t="inlineStr">
        <is>
          <t>VELAS NUMEROS X 100 UN</t>
        </is>
      </c>
      <c r="D243" s="22" t="n">
        <v>0.7575727272727273</v>
      </c>
      <c r="E243" t="n">
        <v>0.88</v>
      </c>
      <c r="F243" t="n">
        <v>0</v>
      </c>
      <c r="G243" t="n">
        <v>13379.64</v>
      </c>
      <c r="H243" t="n">
        <v>100</v>
      </c>
      <c r="I243" t="n">
        <v>110</v>
      </c>
      <c r="J243" s="22">
        <f>H243*D243/I243</f>
        <v/>
      </c>
    </row>
    <row r="244">
      <c r="A244" t="n">
        <v>6001145</v>
      </c>
      <c r="B244" t="inlineStr">
        <is>
          <t>2000;2000</t>
        </is>
      </c>
      <c r="C244" t="inlineStr">
        <is>
          <t>BANDEJA SERVICIO GRIDO CAFÉ X  UN</t>
        </is>
      </c>
      <c r="D244" s="22" t="n">
        <v>0.09090909090909091</v>
      </c>
      <c r="E244" t="n">
        <v>0.35</v>
      </c>
      <c r="F244" t="n">
        <v>0</v>
      </c>
      <c r="G244" t="n">
        <v>6321.32</v>
      </c>
      <c r="H244" t="n">
        <v>100</v>
      </c>
      <c r="I244" t="n">
        <v>110</v>
      </c>
      <c r="J244" s="22">
        <f>H244*D244/I244</f>
        <v/>
      </c>
    </row>
    <row r="245">
      <c r="A245" t="n">
        <v>6001371</v>
      </c>
      <c r="B245" t="inlineStr">
        <is>
          <t>2000;2000</t>
        </is>
      </c>
      <c r="C245" t="inlineStr">
        <is>
          <t>JEANS AZUL GRIDO HOMBRE T44 LOGO NUEVO</t>
        </is>
      </c>
      <c r="D245" s="22" t="n">
        <v>0.1818181818181818</v>
      </c>
      <c r="E245" t="n">
        <v>0.47</v>
      </c>
      <c r="F245" t="n">
        <v>0</v>
      </c>
      <c r="G245" t="n">
        <v>7234.52</v>
      </c>
      <c r="H245" t="n">
        <v>100</v>
      </c>
      <c r="I245" t="n">
        <v>110</v>
      </c>
      <c r="J245" s="22">
        <f>H245*D245/I245</f>
        <v/>
      </c>
    </row>
    <row r="246">
      <c r="A246" t="n">
        <v>6001427</v>
      </c>
      <c r="B246" t="inlineStr">
        <is>
          <t>2000;2000</t>
        </is>
      </c>
      <c r="C246" t="inlineStr">
        <is>
          <t>BALDE CON ESCURIDOR 14 LTS X UN</t>
        </is>
      </c>
      <c r="D246" s="22" t="n">
        <v>1.818181818181818</v>
      </c>
      <c r="E246" t="n">
        <v>0.58</v>
      </c>
      <c r="F246" t="n">
        <v>0</v>
      </c>
      <c r="G246" t="n">
        <v>1503.41</v>
      </c>
      <c r="H246" t="n">
        <v>100</v>
      </c>
      <c r="I246" t="n">
        <v>110</v>
      </c>
      <c r="J246" s="22">
        <f>H246*D246/I246</f>
        <v/>
      </c>
    </row>
    <row r="247">
      <c r="A247" t="n">
        <v>6001448</v>
      </c>
      <c r="B247" t="inlineStr">
        <is>
          <t>2000;2000</t>
        </is>
      </c>
      <c r="C247" t="inlineStr">
        <is>
          <t>MOCHILA DELIVERY EXPANDIBLE X UNID</t>
        </is>
      </c>
      <c r="D247" s="22" t="n">
        <v>1.818181818181818</v>
      </c>
      <c r="E247" t="n">
        <v>1.84</v>
      </c>
      <c r="F247" t="n">
        <v>0</v>
      </c>
      <c r="G247" t="n">
        <v>14638.92</v>
      </c>
      <c r="H247" t="n">
        <v>100</v>
      </c>
      <c r="I247" t="n">
        <v>110</v>
      </c>
      <c r="J247" s="22">
        <f>H247*D247/I247</f>
        <v/>
      </c>
    </row>
    <row r="248">
      <c r="A248" t="n">
        <v>6001430</v>
      </c>
      <c r="B248" t="inlineStr">
        <is>
          <t>2000;2000</t>
        </is>
      </c>
      <c r="C248" t="inlineStr">
        <is>
          <t>BALDE CENTRÍFUGO 13 LTS X UN</t>
        </is>
      </c>
      <c r="D248" s="22" t="n">
        <v>1.818181818181818</v>
      </c>
      <c r="E248" t="n">
        <v>1.88</v>
      </c>
      <c r="F248" t="n">
        <v>0</v>
      </c>
      <c r="G248" t="n">
        <v>7645.38</v>
      </c>
      <c r="H248" t="n">
        <v>100</v>
      </c>
      <c r="I248" t="n">
        <v>110</v>
      </c>
      <c r="J248" s="22">
        <f>H248*D248/I248</f>
        <v/>
      </c>
    </row>
    <row r="249">
      <c r="A249" t="n">
        <v>6001481</v>
      </c>
      <c r="B249" t="inlineStr">
        <is>
          <t>2000;2000</t>
        </is>
      </c>
      <c r="C249" t="inlineStr">
        <is>
          <t>CREMA CHANT DORLOT S/LECHE 170GR X 20 UN</t>
        </is>
      </c>
      <c r="D249" s="22" t="n">
        <v>0.4132272727272727</v>
      </c>
      <c r="E249" t="n">
        <v>3.75</v>
      </c>
      <c r="F249" t="n">
        <v>0</v>
      </c>
      <c r="G249" t="n">
        <v>8384.690000000001</v>
      </c>
      <c r="H249" t="n">
        <v>100</v>
      </c>
      <c r="I249" t="n">
        <v>110</v>
      </c>
      <c r="J249" s="22">
        <f>H249*D249/I249</f>
        <v/>
      </c>
    </row>
    <row r="250">
      <c r="A250" t="n">
        <v>6001373</v>
      </c>
      <c r="B250" t="inlineStr">
        <is>
          <t>2000;2000</t>
        </is>
      </c>
      <c r="C250" t="inlineStr">
        <is>
          <t>JEANS AZUL GRIDO HOMBRE T48 LOGO NUEVO</t>
        </is>
      </c>
      <c r="D250" s="22" t="n">
        <v>0.1818181818181818</v>
      </c>
      <c r="E250" t="n">
        <v>0.46</v>
      </c>
      <c r="F250" t="n">
        <v>0</v>
      </c>
      <c r="G250" t="n">
        <v>7128.19</v>
      </c>
      <c r="H250" t="n">
        <v>100</v>
      </c>
      <c r="I250" t="n">
        <v>110</v>
      </c>
      <c r="J250" s="22">
        <f>H250*D250/I250</f>
        <v/>
      </c>
    </row>
    <row r="251">
      <c r="A251" t="n">
        <v>6001375</v>
      </c>
      <c r="B251" t="inlineStr">
        <is>
          <t>2000;2000</t>
        </is>
      </c>
      <c r="C251" t="inlineStr">
        <is>
          <t>JEANS AZUL GRIDO HOMBRE T52 LOGO NUEVO</t>
        </is>
      </c>
      <c r="D251" s="22" t="n">
        <v>0.1818181818181818</v>
      </c>
      <c r="E251" t="n">
        <v>0.53</v>
      </c>
      <c r="F251" t="n">
        <v>0</v>
      </c>
      <c r="G251" t="n">
        <v>7234.52</v>
      </c>
      <c r="H251" t="n">
        <v>100</v>
      </c>
      <c r="I251" t="n">
        <v>110</v>
      </c>
      <c r="J251" s="22">
        <f>H251*D251/I251</f>
        <v/>
      </c>
    </row>
    <row r="252">
      <c r="A252" t="n">
        <v>6001385</v>
      </c>
      <c r="B252" t="inlineStr">
        <is>
          <t>2000;2000</t>
        </is>
      </c>
      <c r="C252" t="inlineStr">
        <is>
          <t>TOALLA EN ROLLO P/MANOS 6 X 200 FELPITA</t>
        </is>
      </c>
      <c r="D252" s="22" t="n">
        <v>1.818181818181818</v>
      </c>
      <c r="E252" t="n">
        <v>7.18</v>
      </c>
      <c r="F252" t="n">
        <v>0</v>
      </c>
      <c r="G252" t="n">
        <v>8819.940000000001</v>
      </c>
      <c r="H252" t="n">
        <v>100</v>
      </c>
      <c r="I252" t="n">
        <v>110</v>
      </c>
      <c r="J252" s="22">
        <f>H252*D252/I252</f>
        <v/>
      </c>
    </row>
    <row r="253">
      <c r="A253" t="n">
        <v>6001392</v>
      </c>
      <c r="B253" t="inlineStr">
        <is>
          <t>2000;2000</t>
        </is>
      </c>
      <c r="C253" t="inlineStr">
        <is>
          <t>EXHIBIDOR TOTEM 360 MARKET X UN</t>
        </is>
      </c>
      <c r="D253" s="22" t="n">
        <v>2.272727272727273</v>
      </c>
      <c r="E253" t="n">
        <v>8.35</v>
      </c>
      <c r="F253" t="n">
        <v>0</v>
      </c>
      <c r="G253" t="n">
        <v>10578.54</v>
      </c>
      <c r="H253" t="n">
        <v>100</v>
      </c>
      <c r="I253" t="n">
        <v>110</v>
      </c>
      <c r="J253" s="22">
        <f>H253*D253/I253</f>
        <v/>
      </c>
    </row>
    <row r="254">
      <c r="A254" t="n">
        <v>6001413</v>
      </c>
      <c r="B254" t="inlineStr">
        <is>
          <t>2000;2000</t>
        </is>
      </c>
      <c r="C254" t="inlineStr">
        <is>
          <t>PALA c/ CABO BETTANIN X UNID</t>
        </is>
      </c>
      <c r="D254" s="22" t="n">
        <v>0.1818181818181818</v>
      </c>
      <c r="E254" t="n">
        <v>0.26</v>
      </c>
      <c r="F254" t="n">
        <v>0</v>
      </c>
      <c r="G254" t="n">
        <v>632.86</v>
      </c>
      <c r="H254" t="n">
        <v>100</v>
      </c>
      <c r="I254" t="n">
        <v>110</v>
      </c>
      <c r="J254" s="22">
        <f>H254*D254/I254</f>
        <v/>
      </c>
    </row>
    <row r="255">
      <c r="A255" t="n">
        <v>6001418</v>
      </c>
      <c r="B255" t="inlineStr">
        <is>
          <t>2000;2000</t>
        </is>
      </c>
      <c r="C255" t="inlineStr">
        <is>
          <t>ESCOBA USO EXTERNO X UN S/ CABO</t>
        </is>
      </c>
      <c r="D255" s="22" t="n">
        <v>0.1818181818181818</v>
      </c>
      <c r="E255" t="n">
        <v>0.28</v>
      </c>
      <c r="F255" t="n">
        <v>0</v>
      </c>
      <c r="G255" t="n">
        <v>681.54</v>
      </c>
      <c r="H255" t="n">
        <v>100</v>
      </c>
      <c r="I255" t="n">
        <v>110</v>
      </c>
      <c r="J255" s="22">
        <f>H255*D255/I255</f>
        <v/>
      </c>
    </row>
    <row r="256">
      <c r="A256" t="n">
        <v>6001423</v>
      </c>
      <c r="B256" t="inlineStr">
        <is>
          <t>2000;2000</t>
        </is>
      </c>
      <c r="C256" t="inlineStr">
        <is>
          <t>CABO EXTENSIBLE DE ACERO 1.60 MT X UN</t>
        </is>
      </c>
      <c r="D256" s="22" t="n">
        <v>0.09090909090909091</v>
      </c>
      <c r="E256" t="n">
        <v>0.36</v>
      </c>
      <c r="F256" t="n">
        <v>0</v>
      </c>
      <c r="G256" t="n">
        <v>1084.36</v>
      </c>
      <c r="H256" t="n">
        <v>100</v>
      </c>
      <c r="I256" t="n">
        <v>110</v>
      </c>
      <c r="J256" s="22">
        <f>H256*D256/I256</f>
        <v/>
      </c>
    </row>
    <row r="257">
      <c r="A257" t="n">
        <v>6001366</v>
      </c>
      <c r="B257" t="inlineStr">
        <is>
          <t>2000;2000</t>
        </is>
      </c>
      <c r="C257" t="inlineStr">
        <is>
          <t>JEANS AZUL GRIDO DAMA T48 LOGO NUEVO</t>
        </is>
      </c>
      <c r="D257" s="22" t="n">
        <v>0.1818181818181818</v>
      </c>
      <c r="E257" t="n">
        <v>0.46</v>
      </c>
      <c r="F257" t="n">
        <v>0</v>
      </c>
      <c r="G257" t="n">
        <v>7234.52</v>
      </c>
      <c r="H257" t="n">
        <v>100</v>
      </c>
      <c r="I257" t="n">
        <v>110</v>
      </c>
      <c r="J257" s="22">
        <f>H257*D257/I257</f>
        <v/>
      </c>
    </row>
    <row r="258">
      <c r="A258" t="n">
        <v>6001411</v>
      </c>
      <c r="B258" t="inlineStr">
        <is>
          <t>2000;2000</t>
        </is>
      </c>
      <c r="C258" t="inlineStr">
        <is>
          <t>SECADOR BALLENA 40 CM BETTANIN X UNID</t>
        </is>
      </c>
      <c r="D258" s="22" t="n">
        <v>0.1818181818181818</v>
      </c>
      <c r="E258" t="n">
        <v>0.1</v>
      </c>
      <c r="F258" t="n">
        <v>0</v>
      </c>
      <c r="G258" t="n">
        <v>433.37</v>
      </c>
      <c r="H258" t="n">
        <v>100</v>
      </c>
      <c r="I258" t="n">
        <v>110</v>
      </c>
      <c r="J258" s="22">
        <f>H258*D258/I258</f>
        <v/>
      </c>
    </row>
    <row r="259">
      <c r="A259" t="n">
        <v>6001146</v>
      </c>
      <c r="B259" t="inlineStr">
        <is>
          <t>2000;2000</t>
        </is>
      </c>
      <c r="C259" t="inlineStr">
        <is>
          <t>SORBETE 100 % PAPEL X 100UN (ORI. CHINA)</t>
        </is>
      </c>
      <c r="D259" s="22" t="n">
        <v>0.08264545454545455</v>
      </c>
      <c r="E259" t="n">
        <v>0.13</v>
      </c>
      <c r="F259" t="n">
        <v>0</v>
      </c>
      <c r="G259" t="n">
        <v>1805.3</v>
      </c>
      <c r="H259" t="n">
        <v>100</v>
      </c>
      <c r="I259" t="n">
        <v>110</v>
      </c>
      <c r="J259" s="22">
        <f>H259*D259/I259</f>
        <v/>
      </c>
    </row>
    <row r="260">
      <c r="A260" t="n">
        <v>6001362</v>
      </c>
      <c r="B260" t="inlineStr">
        <is>
          <t>2000;2000</t>
        </is>
      </c>
      <c r="C260" t="inlineStr">
        <is>
          <t>JEANS AZUL GRIDO DAMA T40 LOGO NUEVO</t>
        </is>
      </c>
      <c r="D260" s="22" t="n">
        <v>0.1818181818181818</v>
      </c>
      <c r="E260" t="n">
        <v>0.38</v>
      </c>
      <c r="F260" t="n">
        <v>0</v>
      </c>
      <c r="G260" t="n">
        <v>7234.52</v>
      </c>
      <c r="H260" t="n">
        <v>100</v>
      </c>
      <c r="I260" t="n">
        <v>110</v>
      </c>
      <c r="J260" s="22">
        <f>H260*D260/I260</f>
        <v/>
      </c>
    </row>
    <row r="261">
      <c r="A261" t="n">
        <v>6001372</v>
      </c>
      <c r="B261" t="inlineStr">
        <is>
          <t>2000;2000</t>
        </is>
      </c>
      <c r="C261" t="inlineStr">
        <is>
          <t>JEANS AZUL GRIDO HOMBRE T46 LOGO NUEVO</t>
        </is>
      </c>
      <c r="D261" s="22" t="n">
        <v>0.1818181818181818</v>
      </c>
      <c r="E261" t="n">
        <v>0.44</v>
      </c>
      <c r="F261" t="n">
        <v>0</v>
      </c>
      <c r="G261" t="n">
        <v>6423.23</v>
      </c>
      <c r="H261" t="n">
        <v>100</v>
      </c>
      <c r="I261" t="n">
        <v>110</v>
      </c>
      <c r="J261" s="22">
        <f>H261*D261/I261</f>
        <v/>
      </c>
    </row>
    <row r="262">
      <c r="A262" t="n">
        <v>6001365</v>
      </c>
      <c r="B262" t="inlineStr">
        <is>
          <t>2000;2000</t>
        </is>
      </c>
      <c r="C262" t="inlineStr">
        <is>
          <t>JEANS AZUL GRIDO DAMA T46 LOGO NUEVO</t>
        </is>
      </c>
      <c r="D262" s="22" t="n">
        <v>0.1818181818181818</v>
      </c>
      <c r="E262" t="n">
        <v>0.44</v>
      </c>
      <c r="F262" t="n">
        <v>0</v>
      </c>
      <c r="G262" t="n">
        <v>7234.52</v>
      </c>
      <c r="H262" t="n">
        <v>100</v>
      </c>
      <c r="I262" t="n">
        <v>110</v>
      </c>
      <c r="J262" s="22">
        <f>H262*D262/I262</f>
        <v/>
      </c>
    </row>
    <row r="263">
      <c r="A263" t="n">
        <v>6001555</v>
      </c>
      <c r="B263" t="inlineStr">
        <is>
          <t>2000;2000</t>
        </is>
      </c>
      <c r="C263" t="inlineStr">
        <is>
          <t>GOMA STRIKE 40MM X UN PELIKAN</t>
        </is>
      </c>
      <c r="D263" s="22" t="n">
        <v>0.09090909090909091</v>
      </c>
      <c r="E263" t="n">
        <v>0.02</v>
      </c>
      <c r="F263" t="n">
        <v>0</v>
      </c>
      <c r="G263" t="n">
        <v>36.21</v>
      </c>
      <c r="H263" t="n">
        <v>100</v>
      </c>
      <c r="I263" t="n">
        <v>110</v>
      </c>
      <c r="J263" s="22">
        <f>H263*D263/I263</f>
        <v/>
      </c>
    </row>
    <row r="264">
      <c r="A264" t="n">
        <v>6001559</v>
      </c>
      <c r="B264" t="inlineStr">
        <is>
          <t>2000;2000</t>
        </is>
      </c>
      <c r="C264" t="inlineStr">
        <is>
          <t>BORRADOR MADERA P/ PIZARRA X UNI PELIKAN</t>
        </is>
      </c>
      <c r="D264" s="22" t="n">
        <v>0.09090909090909091</v>
      </c>
      <c r="E264" t="n">
        <v>0.04</v>
      </c>
      <c r="F264" t="n">
        <v>0</v>
      </c>
      <c r="G264" t="n">
        <v>244.21</v>
      </c>
      <c r="H264" t="n">
        <v>100</v>
      </c>
      <c r="I264" t="n">
        <v>110</v>
      </c>
      <c r="J264" s="22">
        <f>H264*D264/I264</f>
        <v/>
      </c>
    </row>
    <row r="265">
      <c r="A265" t="n">
        <v>6001558</v>
      </c>
      <c r="B265" t="inlineStr">
        <is>
          <t>2000;2000</t>
        </is>
      </c>
      <c r="C265" t="inlineStr">
        <is>
          <t>PIZARRA MAGNETICA 90 X 120 CM PELIKAN</t>
        </is>
      </c>
      <c r="D265" s="22" t="n">
        <v>2.272727272727273</v>
      </c>
      <c r="E265" t="n">
        <v>14</v>
      </c>
      <c r="F265" t="n">
        <v>0</v>
      </c>
      <c r="G265" t="n">
        <v>19236.91</v>
      </c>
      <c r="H265" t="n">
        <v>100</v>
      </c>
      <c r="I265" t="n">
        <v>110</v>
      </c>
      <c r="J265" s="22">
        <f>H265*D265/I265</f>
        <v/>
      </c>
    </row>
    <row r="266">
      <c r="A266" t="n">
        <v>6001564</v>
      </c>
      <c r="B266" t="inlineStr">
        <is>
          <t>2000;2000</t>
        </is>
      </c>
      <c r="C266" t="inlineStr">
        <is>
          <t>LAPICES NG TRIANGULARES HB 12 UN PIZZINI</t>
        </is>
      </c>
      <c r="D266" s="22" t="n">
        <v>0.09090909090909091</v>
      </c>
      <c r="E266" t="n">
        <v>0.06</v>
      </c>
      <c r="F266" t="n">
        <v>0</v>
      </c>
      <c r="G266" t="n">
        <v>755.04</v>
      </c>
      <c r="H266" t="n">
        <v>100</v>
      </c>
      <c r="I266" t="n">
        <v>110</v>
      </c>
      <c r="J266" s="22">
        <f>H266*D266/I266</f>
        <v/>
      </c>
    </row>
    <row r="267">
      <c r="A267" t="n">
        <v>6001572</v>
      </c>
      <c r="B267" t="inlineStr">
        <is>
          <t>2000;2000</t>
        </is>
      </c>
      <c r="C267" t="inlineStr">
        <is>
          <t>POST IT NARANJAS 80 HOJAS X UN PIZZINI</t>
        </is>
      </c>
      <c r="D267" s="22" t="n">
        <v>0.09090909090909091</v>
      </c>
      <c r="E267" t="n">
        <v>0.04</v>
      </c>
      <c r="F267" t="n">
        <v>0</v>
      </c>
      <c r="G267" t="n">
        <v>205.19</v>
      </c>
      <c r="H267" t="n">
        <v>100</v>
      </c>
      <c r="I267" t="n">
        <v>110</v>
      </c>
      <c r="J267" s="22">
        <f>H267*D267/I267</f>
        <v/>
      </c>
    </row>
    <row r="268">
      <c r="A268" t="n">
        <v>6001573</v>
      </c>
      <c r="B268" t="inlineStr">
        <is>
          <t>2000;2000</t>
        </is>
      </c>
      <c r="C268" t="inlineStr">
        <is>
          <t>POST IT ROSAS 80 HOJAS X UN PIZZINI</t>
        </is>
      </c>
      <c r="D268" s="22" t="n">
        <v>0.09090909090909091</v>
      </c>
      <c r="E268" t="n">
        <v>0.04</v>
      </c>
      <c r="F268" t="n">
        <v>0</v>
      </c>
      <c r="G268" t="n">
        <v>205.19</v>
      </c>
      <c r="H268" t="n">
        <v>100</v>
      </c>
      <c r="I268" t="n">
        <v>110</v>
      </c>
      <c r="J268" s="22">
        <f>H268*D268/I268</f>
        <v/>
      </c>
    </row>
    <row r="269">
      <c r="A269" t="n">
        <v>6001574</v>
      </c>
      <c r="B269" t="inlineStr">
        <is>
          <t>2000;2000</t>
        </is>
      </c>
      <c r="C269" t="inlineStr">
        <is>
          <t>POST IT VERDES 80 HOJAS X UN PIZZINI</t>
        </is>
      </c>
      <c r="D269" s="22" t="n">
        <v>0.09090909090909091</v>
      </c>
      <c r="E269" t="n">
        <v>0.04</v>
      </c>
      <c r="F269" t="n">
        <v>0</v>
      </c>
      <c r="G269" t="n">
        <v>205.19</v>
      </c>
      <c r="H269" t="n">
        <v>100</v>
      </c>
      <c r="I269" t="n">
        <v>110</v>
      </c>
      <c r="J269" s="22">
        <f>H269*D269/I269</f>
        <v/>
      </c>
    </row>
    <row r="270">
      <c r="A270" t="n">
        <v>6001547</v>
      </c>
      <c r="B270" t="inlineStr">
        <is>
          <t>2000;2000</t>
        </is>
      </c>
      <c r="C270" t="inlineStr">
        <is>
          <t>ROTULADOR PERMANENTE VERDE X UN PELIKAN</t>
        </is>
      </c>
      <c r="D270" s="22" t="n">
        <v>0.09090909090909091</v>
      </c>
      <c r="E270" t="n">
        <v>0.01</v>
      </c>
      <c r="F270" t="n">
        <v>0</v>
      </c>
      <c r="G270" t="n">
        <v>155.99</v>
      </c>
      <c r="H270" t="n">
        <v>100</v>
      </c>
      <c r="I270" t="n">
        <v>110</v>
      </c>
      <c r="J270" s="22">
        <f>H270*D270/I270</f>
        <v/>
      </c>
    </row>
    <row r="271">
      <c r="A271" t="n">
        <v>6001544</v>
      </c>
      <c r="B271" t="inlineStr">
        <is>
          <t>2000;2000</t>
        </is>
      </c>
      <c r="C271" t="inlineStr">
        <is>
          <t>ROTULADOR PERMANEN AZUL X UN PELIKAN</t>
        </is>
      </c>
      <c r="D271" s="22" t="n">
        <v>0.09090909090909091</v>
      </c>
      <c r="E271" t="n">
        <v>0.01</v>
      </c>
      <c r="F271" t="n">
        <v>0</v>
      </c>
      <c r="G271" t="n">
        <v>136.49</v>
      </c>
      <c r="H271" t="n">
        <v>100</v>
      </c>
      <c r="I271" t="n">
        <v>110</v>
      </c>
      <c r="J271" s="22">
        <f>H271*D271/I271</f>
        <v/>
      </c>
    </row>
    <row r="272">
      <c r="A272" t="n">
        <v>6001546</v>
      </c>
      <c r="B272" t="inlineStr">
        <is>
          <t>2000;2000</t>
        </is>
      </c>
      <c r="C272" t="inlineStr">
        <is>
          <t>ROTULADOR PERMANENTE ROJO X UN PELIKAN</t>
        </is>
      </c>
      <c r="D272" s="22" t="n">
        <v>0.09090909090909091</v>
      </c>
      <c r="E272" t="n">
        <v>0.01</v>
      </c>
      <c r="F272" t="n">
        <v>0</v>
      </c>
      <c r="G272" t="n">
        <v>136.49</v>
      </c>
      <c r="H272" t="n">
        <v>100</v>
      </c>
      <c r="I272" t="n">
        <v>110</v>
      </c>
      <c r="J272" s="22">
        <f>H272*D272/I272</f>
        <v/>
      </c>
    </row>
    <row r="273">
      <c r="A273" t="n">
        <v>6001583</v>
      </c>
      <c r="B273" t="inlineStr">
        <is>
          <t>2000;2000</t>
        </is>
      </c>
      <c r="C273" t="inlineStr">
        <is>
          <t>FIBRON PIZZARA REDONDO VERDE X UN PIZZIN</t>
        </is>
      </c>
      <c r="D273" s="22" t="n">
        <v>0.09090909090909091</v>
      </c>
      <c r="E273" t="n">
        <v>0.01</v>
      </c>
      <c r="F273" t="n">
        <v>0</v>
      </c>
      <c r="G273" t="n">
        <v>175.49</v>
      </c>
      <c r="H273" t="n">
        <v>100</v>
      </c>
      <c r="I273" t="n">
        <v>110</v>
      </c>
      <c r="J273" s="22">
        <f>H273*D273/I273</f>
        <v/>
      </c>
    </row>
    <row r="274">
      <c r="A274" t="n">
        <v>6001586</v>
      </c>
      <c r="B274" t="inlineStr">
        <is>
          <t>2000;2000</t>
        </is>
      </c>
      <c r="C274" t="inlineStr">
        <is>
          <t>ALCOHOL AL 70% X 5 LTS</t>
        </is>
      </c>
      <c r="D274" s="22" t="n">
        <v>0.7575727272727273</v>
      </c>
      <c r="E274" t="n">
        <v>4.58</v>
      </c>
      <c r="F274" t="n">
        <v>0</v>
      </c>
      <c r="G274" t="n">
        <v>2287.86</v>
      </c>
      <c r="H274" t="n">
        <v>100</v>
      </c>
      <c r="I274" t="n">
        <v>110</v>
      </c>
      <c r="J274" s="22">
        <f>H274*D274/I274</f>
        <v/>
      </c>
    </row>
    <row r="275">
      <c r="A275" t="n">
        <v>6001587</v>
      </c>
      <c r="B275" t="inlineStr">
        <is>
          <t>2000;2000</t>
        </is>
      </c>
      <c r="C275" t="inlineStr">
        <is>
          <t>BIALCOHOL  AL 70% GATILLO X 500ML</t>
        </is>
      </c>
      <c r="D275" s="22" t="n">
        <v>0.09090909090909091</v>
      </c>
      <c r="E275" t="n">
        <v>0.52</v>
      </c>
      <c r="F275" t="n">
        <v>0</v>
      </c>
      <c r="G275" t="n">
        <v>483.96</v>
      </c>
      <c r="H275" t="n">
        <v>100</v>
      </c>
      <c r="I275" t="n">
        <v>110</v>
      </c>
      <c r="J275" s="22">
        <f>H275*D275/I275</f>
        <v/>
      </c>
    </row>
    <row r="276">
      <c r="A276" t="n">
        <v>6001611</v>
      </c>
      <c r="B276" t="inlineStr">
        <is>
          <t>2000;2000</t>
        </is>
      </c>
      <c r="C276" t="inlineStr">
        <is>
          <t>PORTA MINAS X UN PIZZINI</t>
        </is>
      </c>
      <c r="D276" s="22" t="n">
        <v>0.09090909090909091</v>
      </c>
      <c r="E276" t="n">
        <v>0.01</v>
      </c>
      <c r="F276" t="n">
        <v>0</v>
      </c>
      <c r="G276" t="n">
        <v>512.59</v>
      </c>
      <c r="H276" t="n">
        <v>100</v>
      </c>
      <c r="I276" t="n">
        <v>110</v>
      </c>
      <c r="J276" s="22">
        <f>H276*D276/I276</f>
        <v/>
      </c>
    </row>
    <row r="277">
      <c r="A277" t="n">
        <v>6001588</v>
      </c>
      <c r="B277" t="inlineStr">
        <is>
          <t>2000;2000</t>
        </is>
      </c>
      <c r="C277" t="inlineStr">
        <is>
          <t>BIALCOHOL GEL X 500 ML</t>
        </is>
      </c>
      <c r="D277" s="22" t="n">
        <v>0.09090909090909091</v>
      </c>
      <c r="E277" t="n">
        <v>0.49</v>
      </c>
      <c r="F277" t="n">
        <v>0</v>
      </c>
      <c r="G277" t="n">
        <v>408.54</v>
      </c>
      <c r="H277" t="n">
        <v>100</v>
      </c>
      <c r="I277" t="n">
        <v>110</v>
      </c>
      <c r="J277" s="22">
        <f>H277*D277/I277</f>
        <v/>
      </c>
    </row>
    <row r="278">
      <c r="A278" t="n">
        <v>6001612</v>
      </c>
      <c r="B278" t="inlineStr">
        <is>
          <t>2000;2000</t>
        </is>
      </c>
      <c r="C278" t="inlineStr">
        <is>
          <t>MINAS HB P/ PORTA MINA X UN PIZZINI</t>
        </is>
      </c>
      <c r="D278" s="22" t="n">
        <v>0.09090909090909091</v>
      </c>
      <c r="E278" t="n">
        <v>0</v>
      </c>
      <c r="F278" t="n">
        <v>0</v>
      </c>
      <c r="G278" t="n">
        <v>127.21</v>
      </c>
      <c r="H278" t="n">
        <v>100</v>
      </c>
      <c r="I278" t="n">
        <v>110</v>
      </c>
      <c r="J278" s="22">
        <f>H278*D278/I278</f>
        <v/>
      </c>
    </row>
    <row r="279">
      <c r="A279" t="n">
        <v>6001614</v>
      </c>
      <c r="B279" t="inlineStr">
        <is>
          <t>2000;2000</t>
        </is>
      </c>
      <c r="C279" t="inlineStr">
        <is>
          <t>CAPSULAS P/CREMERA X 10 UNID</t>
        </is>
      </c>
      <c r="D279" s="22" t="n">
        <v>0.09090909090909091</v>
      </c>
      <c r="E279" t="n">
        <v>0.29</v>
      </c>
      <c r="F279" t="n">
        <v>0</v>
      </c>
      <c r="G279" t="n">
        <v>2237.72</v>
      </c>
      <c r="H279" t="n">
        <v>100</v>
      </c>
      <c r="I279" t="n">
        <v>110</v>
      </c>
      <c r="J279" s="22">
        <f>H279*D279/I279</f>
        <v/>
      </c>
    </row>
    <row r="280">
      <c r="A280" t="n">
        <v>6001615</v>
      </c>
      <c r="B280" t="inlineStr">
        <is>
          <t>2000;2000</t>
        </is>
      </c>
      <c r="C280" t="inlineStr">
        <is>
          <t>TE GRIDO CLÁSICO X 25 UN</t>
        </is>
      </c>
      <c r="D280" s="22" t="n">
        <v>0.09090909090909091</v>
      </c>
      <c r="E280" t="n">
        <v>0.09</v>
      </c>
      <c r="F280" t="n">
        <v>0</v>
      </c>
      <c r="G280" t="n">
        <v>274.84</v>
      </c>
      <c r="H280" t="n">
        <v>100</v>
      </c>
      <c r="I280" t="n">
        <v>110</v>
      </c>
      <c r="J280" s="22">
        <f>H280*D280/I280</f>
        <v/>
      </c>
    </row>
    <row r="281">
      <c r="A281" t="n">
        <v>6001616</v>
      </c>
      <c r="B281" t="inlineStr">
        <is>
          <t>2000;2000</t>
        </is>
      </c>
      <c r="C281" t="inlineStr">
        <is>
          <t>CONO 70 X 180 UN</t>
        </is>
      </c>
      <c r="D281" s="22" t="n">
        <v>1.033054545454545</v>
      </c>
      <c r="E281" t="n">
        <v>1.09</v>
      </c>
      <c r="F281" t="n">
        <v>0</v>
      </c>
      <c r="G281" t="n">
        <v>1440.91</v>
      </c>
      <c r="H281" t="n">
        <v>100</v>
      </c>
      <c r="I281" t="n">
        <v>110</v>
      </c>
      <c r="J281" s="22">
        <f>H281*D281/I281</f>
        <v/>
      </c>
    </row>
    <row r="282">
      <c r="A282" t="n">
        <v>6001633</v>
      </c>
      <c r="B282" t="inlineStr">
        <is>
          <t>2000;2000</t>
        </is>
      </c>
      <c r="C282" t="inlineStr">
        <is>
          <t>TRAPO DE PISO PROFESIONAL X UN LEYENDA</t>
        </is>
      </c>
      <c r="D282" s="22" t="n">
        <v>0.09090909090909091</v>
      </c>
      <c r="E282" t="n">
        <v>0.14</v>
      </c>
      <c r="F282" t="n">
        <v>0</v>
      </c>
      <c r="G282" t="n">
        <v>388.5</v>
      </c>
      <c r="H282" t="n">
        <v>100</v>
      </c>
      <c r="I282" t="n">
        <v>110</v>
      </c>
      <c r="J282" s="22">
        <f>H282*D282/I282</f>
        <v/>
      </c>
    </row>
    <row r="283">
      <c r="A283" t="n">
        <v>6001632</v>
      </c>
      <c r="B283" t="inlineStr">
        <is>
          <t>2000;2000</t>
        </is>
      </c>
      <c r="C283" t="inlineStr">
        <is>
          <t>TRAPO DE PISO ECO MAX X UN LEYENDA</t>
        </is>
      </c>
      <c r="D283" s="22" t="n">
        <v>0.09090909090909091</v>
      </c>
      <c r="E283" t="n">
        <v>0.09</v>
      </c>
      <c r="F283" t="n">
        <v>0</v>
      </c>
      <c r="G283" t="n">
        <v>185.7</v>
      </c>
      <c r="H283" t="n">
        <v>100</v>
      </c>
      <c r="I283" t="n">
        <v>110</v>
      </c>
      <c r="J283" s="22">
        <f>H283*D283/I283</f>
        <v/>
      </c>
    </row>
    <row r="284">
      <c r="A284" t="n">
        <v>6001634</v>
      </c>
      <c r="B284" t="inlineStr">
        <is>
          <t>2000;2000</t>
        </is>
      </c>
      <c r="C284" t="inlineStr">
        <is>
          <t>REJILLA HILO MULTITRAMA X UN LEYENDA</t>
        </is>
      </c>
      <c r="D284" s="22" t="n">
        <v>0.09090909090909091</v>
      </c>
      <c r="E284" t="n">
        <v>0.05</v>
      </c>
      <c r="F284" t="n">
        <v>0</v>
      </c>
      <c r="G284" t="n">
        <v>155.99</v>
      </c>
      <c r="H284" t="n">
        <v>100</v>
      </c>
      <c r="I284" t="n">
        <v>110</v>
      </c>
      <c r="J284" s="22">
        <f>H284*D284/I284</f>
        <v/>
      </c>
    </row>
    <row r="285">
      <c r="A285" t="n">
        <v>6001630</v>
      </c>
      <c r="B285" t="inlineStr">
        <is>
          <t>2000;2000</t>
        </is>
      </c>
      <c r="C285" t="inlineStr">
        <is>
          <t>MOPA CONSORCIO 300 GRS X UN</t>
        </is>
      </c>
      <c r="D285" s="22" t="n">
        <v>0.09090909090909091</v>
      </c>
      <c r="E285" t="n">
        <v>0.31</v>
      </c>
      <c r="F285" t="n">
        <v>0</v>
      </c>
      <c r="G285" t="n">
        <v>570.8099999999999</v>
      </c>
      <c r="H285" t="n">
        <v>100</v>
      </c>
      <c r="I285" t="n">
        <v>110</v>
      </c>
      <c r="J285" s="22">
        <f>H285*D285/I285</f>
        <v/>
      </c>
    </row>
    <row r="286">
      <c r="A286" t="n">
        <v>6001635</v>
      </c>
      <c r="B286" t="inlineStr">
        <is>
          <t>2000;2000</t>
        </is>
      </c>
      <c r="C286" t="inlineStr">
        <is>
          <t>REJILLA MULTIPROPOSITO X UN LEYENDA</t>
        </is>
      </c>
      <c r="D286" s="22" t="n">
        <v>0.09090909090909091</v>
      </c>
      <c r="E286" t="n">
        <v>0.03</v>
      </c>
      <c r="F286" t="n">
        <v>0</v>
      </c>
      <c r="G286" t="n">
        <v>166.2</v>
      </c>
      <c r="H286" t="n">
        <v>100</v>
      </c>
      <c r="I286" t="n">
        <v>110</v>
      </c>
      <c r="J286" s="22">
        <f>H286*D286/I286</f>
        <v/>
      </c>
    </row>
    <row r="287">
      <c r="A287" t="n">
        <v>6001629</v>
      </c>
      <c r="B287" t="inlineStr">
        <is>
          <t>2000;2000</t>
        </is>
      </c>
      <c r="C287" t="inlineStr">
        <is>
          <t>MOPA 100% ALGODON X UN LEYENDA</t>
        </is>
      </c>
      <c r="D287" s="22" t="n">
        <v>0.1818181818181818</v>
      </c>
      <c r="E287" t="n">
        <v>0.16</v>
      </c>
      <c r="F287" t="n">
        <v>0</v>
      </c>
      <c r="G287" t="n">
        <v>358.9</v>
      </c>
      <c r="H287" t="n">
        <v>100</v>
      </c>
      <c r="I287" t="n">
        <v>110</v>
      </c>
      <c r="J287" s="22">
        <f>H287*D287/I287</f>
        <v/>
      </c>
    </row>
    <row r="288">
      <c r="A288" t="n">
        <v>6001631</v>
      </c>
      <c r="B288" t="inlineStr">
        <is>
          <t>2000;2000</t>
        </is>
      </c>
      <c r="C288" t="inlineStr">
        <is>
          <t>TRAPO DE PISO NIDO DE ABEJA X UN LEYENDA</t>
        </is>
      </c>
      <c r="D288" s="22" t="n">
        <v>0.09090909090909091</v>
      </c>
      <c r="E288" t="n">
        <v>0.12</v>
      </c>
      <c r="F288" t="n">
        <v>0</v>
      </c>
      <c r="G288" t="n">
        <v>383.72</v>
      </c>
      <c r="H288" t="n">
        <v>100</v>
      </c>
      <c r="I288" t="n">
        <v>110</v>
      </c>
      <c r="J288" s="22">
        <f>H288*D288/I288</f>
        <v/>
      </c>
    </row>
    <row r="289">
      <c r="A289" t="n">
        <v>6001636</v>
      </c>
      <c r="B289" t="inlineStr">
        <is>
          <t>2000;2000</t>
        </is>
      </c>
      <c r="C289" t="inlineStr">
        <is>
          <t>REJILLA MULTIPROPÓSITO EXTRA X UN LEYEND</t>
        </is>
      </c>
      <c r="D289" s="22" t="n">
        <v>0.09090909090909091</v>
      </c>
      <c r="E289" t="n">
        <v>0.05</v>
      </c>
      <c r="F289" t="n">
        <v>0</v>
      </c>
      <c r="G289" t="n">
        <v>205.19</v>
      </c>
      <c r="H289" t="n">
        <v>100</v>
      </c>
      <c r="I289" t="n">
        <v>110</v>
      </c>
      <c r="J289" s="22">
        <f>H289*D289/I289</f>
        <v/>
      </c>
    </row>
    <row r="290">
      <c r="A290" t="n">
        <v>6000046</v>
      </c>
      <c r="B290" t="inlineStr">
        <is>
          <t>2000;2000</t>
        </is>
      </c>
      <c r="C290" t="inlineStr">
        <is>
          <t>40x50 BOLSA  OXIBIO GRIDO x 2000 unid.</t>
        </is>
      </c>
      <c r="D290" s="22" t="n">
        <v>1.136363636363636</v>
      </c>
      <c r="E290" t="n">
        <v>8.98</v>
      </c>
      <c r="F290" t="n">
        <v>0</v>
      </c>
      <c r="G290" t="n">
        <v>11274.92</v>
      </c>
      <c r="H290" t="n">
        <v>100</v>
      </c>
      <c r="I290" t="n">
        <v>110</v>
      </c>
      <c r="J290" s="22">
        <f>H290*D290/I290</f>
        <v/>
      </c>
    </row>
    <row r="291">
      <c r="A291" t="n">
        <v>6000047</v>
      </c>
      <c r="B291" t="inlineStr">
        <is>
          <t>2000;2000</t>
        </is>
      </c>
      <c r="C291" t="inlineStr">
        <is>
          <t>50X60 BOLSA OXIBIO GRIDO x 1000 unid.</t>
        </is>
      </c>
      <c r="D291" s="22" t="n">
        <v>0.9090909090909091</v>
      </c>
      <c r="E291" t="n">
        <v>6.63</v>
      </c>
      <c r="F291" t="n">
        <v>0</v>
      </c>
      <c r="G291" t="n">
        <v>7773.6</v>
      </c>
      <c r="H291" t="n">
        <v>100</v>
      </c>
      <c r="I291" t="n">
        <v>110</v>
      </c>
      <c r="J291" s="22">
        <f>H291*D291/I291</f>
        <v/>
      </c>
    </row>
    <row r="292">
      <c r="A292" t="n">
        <v>6000060</v>
      </c>
      <c r="B292" t="inlineStr">
        <is>
          <t>2000;2000</t>
        </is>
      </c>
      <c r="C292" t="inlineStr">
        <is>
          <t>BAÑADORA DE ACERO INOX. 1 BOCA 2.250 CC.</t>
        </is>
      </c>
      <c r="D292" s="22" t="n">
        <v>1.6835</v>
      </c>
      <c r="E292" t="n">
        <v>2.91</v>
      </c>
      <c r="F292" t="n">
        <v>0</v>
      </c>
      <c r="G292" t="n">
        <v>41173.03</v>
      </c>
      <c r="H292" t="n">
        <v>100</v>
      </c>
      <c r="I292" t="n">
        <v>110</v>
      </c>
      <c r="J292" s="22">
        <f>H292*D292/I292</f>
        <v/>
      </c>
    </row>
    <row r="293">
      <c r="A293" t="n">
        <v>6000066</v>
      </c>
      <c r="B293" t="inlineStr">
        <is>
          <t>2000;2000</t>
        </is>
      </c>
      <c r="C293" t="inlineStr">
        <is>
          <t>BISAGRA ARCON RESORTE 3.75</t>
        </is>
      </c>
      <c r="D293" s="22" t="n">
        <v>0.1818181818181818</v>
      </c>
      <c r="E293" t="n">
        <v>0.35</v>
      </c>
      <c r="F293" t="n">
        <v>0</v>
      </c>
      <c r="G293" t="n">
        <v>1062.23</v>
      </c>
      <c r="H293" t="n">
        <v>100</v>
      </c>
      <c r="I293" t="n">
        <v>110</v>
      </c>
      <c r="J293" s="22">
        <f>H293*D293/I293</f>
        <v/>
      </c>
    </row>
    <row r="294">
      <c r="A294" t="n">
        <v>6000070</v>
      </c>
      <c r="B294" t="inlineStr">
        <is>
          <t>2000;2000</t>
        </is>
      </c>
      <c r="C294" t="inlineStr">
        <is>
          <t>BOCHERO AUTOMATICA AZUL GRIDO 40 GRS.</t>
        </is>
      </c>
      <c r="D294" s="22" t="n">
        <v>0.1818181818181818</v>
      </c>
      <c r="E294" t="n">
        <v>0.17</v>
      </c>
      <c r="F294" t="n">
        <v>0</v>
      </c>
      <c r="G294" t="n">
        <v>7257</v>
      </c>
      <c r="H294" t="n">
        <v>100</v>
      </c>
      <c r="I294" t="n">
        <v>110</v>
      </c>
      <c r="J294" s="22">
        <f>H294*D294/I294</f>
        <v/>
      </c>
    </row>
    <row r="295">
      <c r="A295" t="n">
        <v>6000076</v>
      </c>
      <c r="B295" t="inlineStr">
        <is>
          <t>2000;2000</t>
        </is>
      </c>
      <c r="C295" t="inlineStr">
        <is>
          <t>BURBUJA CAPUCCINO X 900 UNID.</t>
        </is>
      </c>
      <c r="D295" s="22" t="n">
        <v>2.1645</v>
      </c>
      <c r="E295" t="n">
        <v>2.69</v>
      </c>
      <c r="F295" t="n">
        <v>0</v>
      </c>
      <c r="G295" t="n">
        <v>9170.049999999999</v>
      </c>
      <c r="H295" t="n">
        <v>100</v>
      </c>
      <c r="I295" t="n">
        <v>110</v>
      </c>
      <c r="J295" s="22">
        <f>H295*D295/I295</f>
        <v/>
      </c>
    </row>
    <row r="296">
      <c r="A296" t="n">
        <v>6000077</v>
      </c>
      <c r="B296" t="inlineStr">
        <is>
          <t>2000;2000</t>
        </is>
      </c>
      <c r="C296" t="inlineStr">
        <is>
          <t>BURBUJA GRIDO BATIDO X 860 unid.</t>
        </is>
      </c>
      <c r="D296" s="22" t="n">
        <v>2.1645</v>
      </c>
      <c r="E296" t="n">
        <v>3.02</v>
      </c>
      <c r="F296" t="n">
        <v>0</v>
      </c>
      <c r="G296" t="n">
        <v>10471.65</v>
      </c>
      <c r="H296" t="n">
        <v>100</v>
      </c>
      <c r="I296" t="n">
        <v>110</v>
      </c>
      <c r="J296" s="22">
        <f>H296*D296/I296</f>
        <v/>
      </c>
    </row>
    <row r="297">
      <c r="A297" t="n">
        <v>6000125</v>
      </c>
      <c r="B297" t="inlineStr">
        <is>
          <t>2000;2000</t>
        </is>
      </c>
      <c r="C297" t="inlineStr">
        <is>
          <t>CESTO DE BASURA 50 LTS. C/ TAPA</t>
        </is>
      </c>
      <c r="D297" s="22" t="n">
        <v>0.6060636363636364</v>
      </c>
      <c r="E297" t="n">
        <v>1.76</v>
      </c>
      <c r="F297" t="n">
        <v>0</v>
      </c>
      <c r="G297" t="n">
        <v>6224.67</v>
      </c>
      <c r="H297" t="n">
        <v>100</v>
      </c>
      <c r="I297" t="n">
        <v>110</v>
      </c>
      <c r="J297" s="22">
        <f>H297*D297/I297</f>
        <v/>
      </c>
    </row>
    <row r="298">
      <c r="A298" t="n">
        <v>6000151</v>
      </c>
      <c r="B298" t="inlineStr">
        <is>
          <t>2000;2000</t>
        </is>
      </c>
      <c r="C298" t="inlineStr">
        <is>
          <t>CINTA AUTOADHESIVAS 24X100 GRIDO X 6 UN</t>
        </is>
      </c>
      <c r="D298" s="22" t="n">
        <v>0.08417272727272727</v>
      </c>
      <c r="E298" t="n">
        <v>0.54</v>
      </c>
      <c r="F298" t="n">
        <v>0</v>
      </c>
      <c r="G298" t="n">
        <v>2394.81</v>
      </c>
      <c r="H298" t="n">
        <v>100</v>
      </c>
      <c r="I298" t="n">
        <v>110</v>
      </c>
      <c r="J298" s="22">
        <f>H298*D298/I298</f>
        <v/>
      </c>
    </row>
    <row r="299">
      <c r="A299" t="n">
        <v>6000180</v>
      </c>
      <c r="B299" t="inlineStr">
        <is>
          <t>2000;2000</t>
        </is>
      </c>
      <c r="C299" t="inlineStr">
        <is>
          <t>SERVILLETA RECICLADA GRIDO X 2000 UN</t>
        </is>
      </c>
      <c r="D299" s="22" t="n">
        <v>0.7575727272727273</v>
      </c>
      <c r="E299" t="n">
        <v>2.63</v>
      </c>
      <c r="F299" t="n">
        <v>0</v>
      </c>
      <c r="G299" t="n">
        <v>3703.53</v>
      </c>
      <c r="H299" t="n">
        <v>100</v>
      </c>
      <c r="I299" t="n">
        <v>110</v>
      </c>
      <c r="J299" s="22">
        <f>H299*D299/I299</f>
        <v/>
      </c>
    </row>
    <row r="300">
      <c r="A300" t="n">
        <v>6000207</v>
      </c>
      <c r="B300" t="inlineStr">
        <is>
          <t>2000;2000</t>
        </is>
      </c>
      <c r="C300" t="inlineStr">
        <is>
          <t>DISPOSITIVO BANNER DIRECTOR "ORIG.CHINA"</t>
        </is>
      </c>
      <c r="D300" s="22" t="n">
        <v>0.2525272727272728</v>
      </c>
      <c r="E300" t="n">
        <v>0.52</v>
      </c>
      <c r="F300" t="n">
        <v>0</v>
      </c>
      <c r="G300" t="n">
        <v>52712.57</v>
      </c>
      <c r="H300" t="n">
        <v>100</v>
      </c>
      <c r="I300" t="n">
        <v>110</v>
      </c>
      <c r="J300" s="22">
        <f>H300*D300/I300</f>
        <v/>
      </c>
    </row>
    <row r="301">
      <c r="A301" t="n">
        <v>6000214</v>
      </c>
      <c r="B301" t="inlineStr">
        <is>
          <t>2000;2000</t>
        </is>
      </c>
      <c r="C301" t="inlineStr">
        <is>
          <t>ESPATULA ACERO MOD. ITALIANO</t>
        </is>
      </c>
      <c r="D301" s="22" t="n">
        <v>0.1298727272727273</v>
      </c>
      <c r="E301" t="n">
        <v>0.15</v>
      </c>
      <c r="F301" t="n">
        <v>0</v>
      </c>
      <c r="G301" t="n">
        <v>2398.5</v>
      </c>
      <c r="H301" t="n">
        <v>100</v>
      </c>
      <c r="I301" t="n">
        <v>110</v>
      </c>
      <c r="J301" s="22">
        <f>H301*D301/I301</f>
        <v/>
      </c>
    </row>
    <row r="302">
      <c r="A302" t="n">
        <v>6000291</v>
      </c>
      <c r="B302" t="inlineStr">
        <is>
          <t>2000;2000</t>
        </is>
      </c>
      <c r="C302" t="inlineStr">
        <is>
          <t>LECTORA CODIGO DE BARRA</t>
        </is>
      </c>
      <c r="D302" s="22" t="n">
        <v>0.2525272727272728</v>
      </c>
      <c r="E302" t="n">
        <v>0.65</v>
      </c>
      <c r="F302" t="n">
        <v>0</v>
      </c>
      <c r="G302" t="n">
        <v>41954.84</v>
      </c>
      <c r="H302" t="n">
        <v>100</v>
      </c>
      <c r="I302" t="n">
        <v>110</v>
      </c>
      <c r="J302" s="22">
        <f>H302*D302/I302</f>
        <v/>
      </c>
    </row>
    <row r="303">
      <c r="A303" t="n">
        <v>6000297</v>
      </c>
      <c r="B303" t="inlineStr">
        <is>
          <t>2000;2000</t>
        </is>
      </c>
      <c r="C303" t="inlineStr">
        <is>
          <t>MANIJA POZO DE FRIO  FAM 46_ FREEZER</t>
        </is>
      </c>
      <c r="D303" s="22" t="n">
        <v>0.1818181818181818</v>
      </c>
      <c r="E303" t="n">
        <v>0.35</v>
      </c>
      <c r="F303" t="n">
        <v>0</v>
      </c>
      <c r="G303" t="n">
        <v>756.9400000000001</v>
      </c>
      <c r="H303" t="n">
        <v>100</v>
      </c>
      <c r="I303" t="n">
        <v>110</v>
      </c>
      <c r="J303" s="22">
        <f>H303*D303/I303</f>
        <v/>
      </c>
    </row>
    <row r="304">
      <c r="A304" t="n">
        <v>6000300</v>
      </c>
      <c r="B304" t="inlineStr">
        <is>
          <t>2000;2000</t>
        </is>
      </c>
      <c r="C304" t="inlineStr">
        <is>
          <t>MEDIA LUNA PLASTICA BAJA HIELO - CORNETE</t>
        </is>
      </c>
      <c r="D304" s="22" t="n">
        <v>0.1818181818181818</v>
      </c>
      <c r="E304" t="n">
        <v>0.04</v>
      </c>
      <c r="F304" t="n">
        <v>0</v>
      </c>
      <c r="G304" t="n">
        <v>252.15</v>
      </c>
      <c r="H304" t="n">
        <v>100</v>
      </c>
      <c r="I304" t="n">
        <v>110</v>
      </c>
      <c r="J304" s="22">
        <f>H304*D304/I304</f>
        <v/>
      </c>
    </row>
    <row r="305">
      <c r="A305" t="n">
        <v>6000312</v>
      </c>
      <c r="B305" t="inlineStr">
        <is>
          <t>2000;2000</t>
        </is>
      </c>
      <c r="C305" t="inlineStr">
        <is>
          <t>MESA METALIZADA INTERIOR / EXTERIOR</t>
        </is>
      </c>
      <c r="D305" s="22" t="n">
        <v>3.636363636363636</v>
      </c>
      <c r="E305" t="n">
        <v>24</v>
      </c>
      <c r="F305" t="n">
        <v>0</v>
      </c>
      <c r="G305" t="n">
        <v>55300.8</v>
      </c>
      <c r="H305" t="n">
        <v>100</v>
      </c>
      <c r="I305" t="n">
        <v>110</v>
      </c>
      <c r="J305" s="22">
        <f>H305*D305/I305</f>
        <v/>
      </c>
    </row>
    <row r="306">
      <c r="A306" t="n">
        <v>6000314</v>
      </c>
      <c r="B306" t="inlineStr">
        <is>
          <t>2000;2000</t>
        </is>
      </c>
      <c r="C306" t="inlineStr">
        <is>
          <t>MICROGALLETAS CON BAÑO DE CHOCOLATE X KG</t>
        </is>
      </c>
      <c r="D306" s="22" t="n">
        <v>0.1681818181818182</v>
      </c>
      <c r="E306" t="n">
        <v>0</v>
      </c>
      <c r="F306" t="n">
        <v>0</v>
      </c>
      <c r="G306" t="n">
        <v>1937.25</v>
      </c>
      <c r="H306" t="n">
        <v>100</v>
      </c>
      <c r="I306" t="n">
        <v>110</v>
      </c>
      <c r="J306" s="22">
        <f>H306*D306/I306</f>
        <v/>
      </c>
    </row>
    <row r="307">
      <c r="A307" t="n">
        <v>6000387</v>
      </c>
      <c r="B307" t="inlineStr">
        <is>
          <t>2000;2000</t>
        </is>
      </c>
      <c r="C307" t="inlineStr">
        <is>
          <t>POTE POLIPAPEL 1/2 KG GRIDO X 600 unid.</t>
        </is>
      </c>
      <c r="D307" s="22" t="n">
        <v>6.060609090909091</v>
      </c>
      <c r="E307" t="n">
        <v>9.68</v>
      </c>
      <c r="F307" t="n">
        <v>0</v>
      </c>
      <c r="G307" t="n">
        <v>38516.95</v>
      </c>
      <c r="H307" t="n">
        <v>100</v>
      </c>
      <c r="I307" t="n">
        <v>110</v>
      </c>
      <c r="J307" s="22">
        <f>H307*D307/I307</f>
        <v/>
      </c>
    </row>
    <row r="308">
      <c r="A308" t="n">
        <v>6000400</v>
      </c>
      <c r="B308" t="inlineStr">
        <is>
          <t>2000;2000</t>
        </is>
      </c>
      <c r="C308" t="inlineStr">
        <is>
          <t>REJILLA RECTANGULAR PLASTICA BLANCA</t>
        </is>
      </c>
      <c r="D308" s="22" t="n">
        <v>0.1818181818181818</v>
      </c>
      <c r="E308" t="n">
        <v>0.3</v>
      </c>
      <c r="F308" t="n">
        <v>0</v>
      </c>
      <c r="G308" t="n">
        <v>3534.84</v>
      </c>
      <c r="H308" t="n">
        <v>100</v>
      </c>
      <c r="I308" t="n">
        <v>110</v>
      </c>
      <c r="J308" s="22">
        <f>H308*D308/I308</f>
        <v/>
      </c>
    </row>
    <row r="309">
      <c r="A309" t="n">
        <v>6000402</v>
      </c>
      <c r="B309" t="inlineStr">
        <is>
          <t>2000;2000</t>
        </is>
      </c>
      <c r="C309" t="inlineStr">
        <is>
          <t>REJILLA REDONDA PLASTICA</t>
        </is>
      </c>
      <c r="D309" s="22" t="n">
        <v>0.1818181818181818</v>
      </c>
      <c r="E309" t="n">
        <v>0.3</v>
      </c>
      <c r="F309" t="n">
        <v>0</v>
      </c>
      <c r="G309" t="n">
        <v>2093.09</v>
      </c>
      <c r="H309" t="n">
        <v>100</v>
      </c>
      <c r="I309" t="n">
        <v>110</v>
      </c>
      <c r="J309" s="22">
        <f>H309*D309/I309</f>
        <v/>
      </c>
    </row>
    <row r="310">
      <c r="A310" t="n">
        <v>6000403</v>
      </c>
      <c r="B310" t="inlineStr">
        <is>
          <t>2000;2000</t>
        </is>
      </c>
      <c r="C310" t="inlineStr">
        <is>
          <t>REJILLA REDONDA PLASTICA GRIS</t>
        </is>
      </c>
      <c r="D310" s="22" t="n">
        <v>0.1818181818181818</v>
      </c>
      <c r="E310" t="n">
        <v>0.3</v>
      </c>
      <c r="F310" t="n">
        <v>0</v>
      </c>
      <c r="G310" t="n">
        <v>2215.41</v>
      </c>
      <c r="H310" t="n">
        <v>100</v>
      </c>
      <c r="I310" t="n">
        <v>110</v>
      </c>
      <c r="J310" s="22">
        <f>H310*D310/I310</f>
        <v/>
      </c>
    </row>
    <row r="311">
      <c r="A311" t="n">
        <v>6000415</v>
      </c>
      <c r="B311" t="inlineStr">
        <is>
          <t>2000;2000</t>
        </is>
      </c>
      <c r="C311" t="inlineStr">
        <is>
          <t>RESISTENCIA PARA BAÑADORA</t>
        </is>
      </c>
      <c r="D311" s="22" t="n">
        <v>0.1818181818181818</v>
      </c>
      <c r="E311" t="n">
        <v>0.25</v>
      </c>
      <c r="F311" t="n">
        <v>0</v>
      </c>
      <c r="G311" t="n">
        <v>3668.07</v>
      </c>
      <c r="H311" t="n">
        <v>100</v>
      </c>
      <c r="I311" t="n">
        <v>110</v>
      </c>
      <c r="J311" s="22">
        <f>H311*D311/I311</f>
        <v/>
      </c>
    </row>
    <row r="312">
      <c r="A312" t="n">
        <v>6000418</v>
      </c>
      <c r="B312" t="inlineStr">
        <is>
          <t>2000;2000</t>
        </is>
      </c>
      <c r="C312" t="inlineStr">
        <is>
          <t>RESORTES GRANDE PARA BOCHERO X 10</t>
        </is>
      </c>
      <c r="D312" s="22" t="n">
        <v>0.09090909090909091</v>
      </c>
      <c r="E312" t="n">
        <v>0.2</v>
      </c>
      <c r="F312" t="n">
        <v>0</v>
      </c>
      <c r="G312" t="n">
        <v>1489.42</v>
      </c>
      <c r="H312" t="n">
        <v>100</v>
      </c>
      <c r="I312" t="n">
        <v>110</v>
      </c>
      <c r="J312" s="22">
        <f>H312*D312/I312</f>
        <v/>
      </c>
    </row>
    <row r="313">
      <c r="A313" t="n">
        <v>6000472</v>
      </c>
      <c r="B313" t="inlineStr">
        <is>
          <t>2000;2000</t>
        </is>
      </c>
      <c r="C313" t="inlineStr">
        <is>
          <t>TAPA GRIS PARA FAM 30 ACERO INOXIDABLE</t>
        </is>
      </c>
      <c r="D313" s="22" t="n">
        <v>0.3030272727272727</v>
      </c>
      <c r="E313" t="n">
        <v>0.76</v>
      </c>
      <c r="F313" t="n">
        <v>0</v>
      </c>
      <c r="G313" t="n">
        <v>6354.55</v>
      </c>
      <c r="H313" t="n">
        <v>100</v>
      </c>
      <c r="I313" t="n">
        <v>110</v>
      </c>
      <c r="J313" s="22">
        <f>H313*D313/I313</f>
        <v/>
      </c>
    </row>
    <row r="314">
      <c r="A314" t="n">
        <v>6000474</v>
      </c>
      <c r="B314" t="inlineStr">
        <is>
          <t>2000;2000</t>
        </is>
      </c>
      <c r="C314" t="inlineStr">
        <is>
          <t>TAPA POTE POLIPAPEL 1/2KG GRIDO X 470 UN</t>
        </is>
      </c>
      <c r="D314" s="22" t="n">
        <v>2.525254545454545</v>
      </c>
      <c r="E314" t="n">
        <v>3.94</v>
      </c>
      <c r="F314" t="n">
        <v>0</v>
      </c>
      <c r="G314" t="n">
        <v>7057.76</v>
      </c>
      <c r="H314" t="n">
        <v>100</v>
      </c>
      <c r="I314" t="n">
        <v>110</v>
      </c>
      <c r="J314" s="22">
        <f>H314*D314/I314</f>
        <v/>
      </c>
    </row>
    <row r="315">
      <c r="A315" t="n">
        <v>6000476</v>
      </c>
      <c r="B315" t="inlineStr">
        <is>
          <t>2000;2000</t>
        </is>
      </c>
      <c r="C315" t="inlineStr">
        <is>
          <t>TAPA POTE POLIPAPEL 1/2KG GRIDO X 600 UN</t>
        </is>
      </c>
      <c r="D315" s="22" t="n">
        <v>3.787881818181818</v>
      </c>
      <c r="E315" t="n">
        <v>3.54</v>
      </c>
      <c r="F315" t="n">
        <v>0</v>
      </c>
      <c r="G315" t="n">
        <v>10758.53</v>
      </c>
      <c r="H315" t="n">
        <v>100</v>
      </c>
      <c r="I315" t="n">
        <v>110</v>
      </c>
      <c r="J315" s="22">
        <f>H315*D315/I315</f>
        <v/>
      </c>
    </row>
    <row r="316">
      <c r="A316" t="n">
        <v>6000484</v>
      </c>
      <c r="B316" t="inlineStr">
        <is>
          <t>2000;2000</t>
        </is>
      </c>
      <c r="C316" t="inlineStr">
        <is>
          <t>TERMICO 1/1 GRIDO DELIVERY X 100 unid.</t>
        </is>
      </c>
      <c r="D316" s="22" t="n">
        <v>9.090909090909092</v>
      </c>
      <c r="E316" t="n">
        <v>2.08</v>
      </c>
      <c r="F316" t="n">
        <v>0</v>
      </c>
      <c r="G316" t="n">
        <v>8129.78</v>
      </c>
      <c r="H316" t="n">
        <v>100</v>
      </c>
      <c r="I316" t="n">
        <v>110</v>
      </c>
      <c r="J316" s="22">
        <f>H316*D316/I316</f>
        <v/>
      </c>
    </row>
    <row r="317">
      <c r="A317" t="n">
        <v>6000488</v>
      </c>
      <c r="B317" t="inlineStr">
        <is>
          <t>2000;2000</t>
        </is>
      </c>
      <c r="C317" t="inlineStr">
        <is>
          <t>TERMICO 1/2 GRIDO X 100 unid.</t>
        </is>
      </c>
      <c r="D317" s="22" t="n">
        <v>7.575754545454545</v>
      </c>
      <c r="E317" t="n">
        <v>1.43</v>
      </c>
      <c r="F317" t="n">
        <v>0</v>
      </c>
      <c r="G317" t="n">
        <v>5095.89</v>
      </c>
      <c r="H317" t="n">
        <v>100</v>
      </c>
      <c r="I317" t="n">
        <v>110</v>
      </c>
      <c r="J317" s="22">
        <f>H317*D317/I317</f>
        <v/>
      </c>
    </row>
    <row r="318">
      <c r="A318" t="n">
        <v>6000495</v>
      </c>
      <c r="B318" t="inlineStr">
        <is>
          <t>2000;2000</t>
        </is>
      </c>
      <c r="C318" t="inlineStr">
        <is>
          <t>TRAVESAÑO 30 TCTP GRIS</t>
        </is>
      </c>
      <c r="D318" s="22" t="n">
        <v>0.1818181818181818</v>
      </c>
      <c r="E318" t="n">
        <v>0.24</v>
      </c>
      <c r="F318" t="n">
        <v>0</v>
      </c>
      <c r="G318" t="n">
        <v>3999.04</v>
      </c>
      <c r="H318" t="n">
        <v>100</v>
      </c>
      <c r="I318" t="n">
        <v>110</v>
      </c>
      <c r="J318" s="22">
        <f>H318*D318/I318</f>
        <v/>
      </c>
    </row>
    <row r="319">
      <c r="A319" t="n">
        <v>6000496</v>
      </c>
      <c r="B319" t="inlineStr">
        <is>
          <t>2000;2000</t>
        </is>
      </c>
      <c r="C319" t="inlineStr">
        <is>
          <t>TRAVESAÑO DE CONTENCION FAM 46</t>
        </is>
      </c>
      <c r="D319" s="22" t="n">
        <v>0.1818181818181818</v>
      </c>
      <c r="E319" t="n">
        <v>0.5</v>
      </c>
      <c r="F319" t="n">
        <v>0</v>
      </c>
      <c r="G319" t="n">
        <v>7233.81</v>
      </c>
      <c r="H319" t="n">
        <v>100</v>
      </c>
      <c r="I319" t="n">
        <v>110</v>
      </c>
      <c r="J319" s="22">
        <f>H319*D319/I319</f>
        <v/>
      </c>
    </row>
    <row r="320">
      <c r="A320" t="n">
        <v>6000497</v>
      </c>
      <c r="B320" t="inlineStr">
        <is>
          <t>2000;2000</t>
        </is>
      </c>
      <c r="C320" t="inlineStr">
        <is>
          <t>TRAVESAÑO FAM 30 (T.C. 30 T.P.)</t>
        </is>
      </c>
      <c r="D320" s="22" t="n">
        <v>0.1818181818181818</v>
      </c>
      <c r="E320" t="n">
        <v>0.24</v>
      </c>
      <c r="F320" t="n">
        <v>0</v>
      </c>
      <c r="G320" t="n">
        <v>4248.91</v>
      </c>
      <c r="H320" t="n">
        <v>100</v>
      </c>
      <c r="I320" t="n">
        <v>110</v>
      </c>
      <c r="J320" s="22">
        <f>H320*D320/I320</f>
        <v/>
      </c>
    </row>
    <row r="321">
      <c r="A321" t="n">
        <v>6000507</v>
      </c>
      <c r="B321" t="inlineStr">
        <is>
          <t>2000;2000</t>
        </is>
      </c>
      <c r="C321" t="inlineStr">
        <is>
          <t>VASO CAPUCCINO X 450 UNID.</t>
        </is>
      </c>
      <c r="D321" s="22" t="n">
        <v>3.0303</v>
      </c>
      <c r="E321" t="n">
        <v>5.49</v>
      </c>
      <c r="F321" t="n">
        <v>0</v>
      </c>
      <c r="G321" t="n">
        <v>13032.94</v>
      </c>
      <c r="H321" t="n">
        <v>100</v>
      </c>
      <c r="I321" t="n">
        <v>110</v>
      </c>
      <c r="J321" s="22">
        <f>H321*D321/I321</f>
        <v/>
      </c>
    </row>
    <row r="322">
      <c r="A322" t="n">
        <v>6000525</v>
      </c>
      <c r="B322" t="inlineStr">
        <is>
          <t>2000;2000</t>
        </is>
      </c>
      <c r="C322" t="inlineStr">
        <is>
          <t>TAPA P/POTE 1/4 KG RAPECA X 580 UN</t>
        </is>
      </c>
      <c r="D322" s="22" t="n">
        <v>2.525254545454545</v>
      </c>
      <c r="E322" t="n">
        <v>2.38</v>
      </c>
      <c r="F322" t="n">
        <v>0</v>
      </c>
      <c r="G322" t="n">
        <v>7280.94</v>
      </c>
      <c r="H322" t="n">
        <v>100</v>
      </c>
      <c r="I322" t="n">
        <v>110</v>
      </c>
      <c r="J322" s="22">
        <f>H322*D322/I322</f>
        <v/>
      </c>
    </row>
    <row r="323">
      <c r="A323" t="n">
        <v>6000555</v>
      </c>
      <c r="B323" t="inlineStr">
        <is>
          <t>2000;2000</t>
        </is>
      </c>
      <c r="C323" t="inlineStr">
        <is>
          <t>DELANTAL JEANS AZUL GRIDO x UN</t>
        </is>
      </c>
      <c r="D323" s="22" t="n">
        <v>0.1515181818181818</v>
      </c>
      <c r="E323" t="n">
        <v>0.7</v>
      </c>
      <c r="F323" t="n">
        <v>0</v>
      </c>
      <c r="G323" t="n">
        <v>4229.88</v>
      </c>
      <c r="H323" t="n">
        <v>100</v>
      </c>
      <c r="I323" t="n">
        <v>110</v>
      </c>
      <c r="J323" s="22">
        <f>H323*D323/I323</f>
        <v/>
      </c>
    </row>
    <row r="324">
      <c r="A324" t="n">
        <v>6000557</v>
      </c>
      <c r="B324" t="inlineStr">
        <is>
          <t>2000;2000</t>
        </is>
      </c>
      <c r="C324" t="inlineStr">
        <is>
          <t>BANDANA AZUL GRIDO X 2 UN.</t>
        </is>
      </c>
      <c r="D324" s="22" t="n">
        <v>0.04545454545454546</v>
      </c>
      <c r="E324" t="n">
        <v>0.14</v>
      </c>
      <c r="F324" t="n">
        <v>0</v>
      </c>
      <c r="G324" t="n">
        <v>3385.6</v>
      </c>
      <c r="H324" t="n">
        <v>100</v>
      </c>
      <c r="I324" t="n">
        <v>110</v>
      </c>
      <c r="J324" s="22">
        <f>H324*D324/I324</f>
        <v/>
      </c>
    </row>
    <row r="325">
      <c r="A325" t="n">
        <v>6000665</v>
      </c>
      <c r="B325" t="inlineStr">
        <is>
          <t>2000;2000</t>
        </is>
      </c>
      <c r="C325" t="inlineStr">
        <is>
          <t>CUCHARA LARGA SUNDA GO x 400 Un.</t>
        </is>
      </c>
      <c r="D325" s="22" t="n">
        <v>0.8116909090909091</v>
      </c>
      <c r="E325" t="n">
        <v>1.68</v>
      </c>
      <c r="F325" t="n">
        <v>0</v>
      </c>
      <c r="G325" t="n">
        <v>3597.26</v>
      </c>
      <c r="H325" t="n">
        <v>100</v>
      </c>
      <c r="I325" t="n">
        <v>110</v>
      </c>
      <c r="J325" s="22">
        <f>H325*D325/I325</f>
        <v/>
      </c>
    </row>
    <row r="326">
      <c r="A326" t="n">
        <v>6000671</v>
      </c>
      <c r="B326" t="inlineStr">
        <is>
          <t>2000;2000</t>
        </is>
      </c>
      <c r="C326" t="inlineStr">
        <is>
          <t>VASO SUNDAE x 576 UNID.</t>
        </is>
      </c>
      <c r="D326" s="22" t="n">
        <v>2.525254545454545</v>
      </c>
      <c r="E326" t="n">
        <v>5.04</v>
      </c>
      <c r="F326" t="n">
        <v>0</v>
      </c>
      <c r="G326" t="n">
        <v>20545.92</v>
      </c>
      <c r="H326" t="n">
        <v>100</v>
      </c>
      <c r="I326" t="n">
        <v>110</v>
      </c>
      <c r="J326" s="22">
        <f>H326*D326/I326</f>
        <v/>
      </c>
    </row>
    <row r="327">
      <c r="A327" t="n">
        <v>6000683</v>
      </c>
      <c r="B327" t="inlineStr">
        <is>
          <t>2000;2000</t>
        </is>
      </c>
      <c r="C327" t="inlineStr">
        <is>
          <t>CAMPERA FRISA NUEVO MODELO TS</t>
        </is>
      </c>
      <c r="D327" s="22" t="n">
        <v>0.2525272727272728</v>
      </c>
      <c r="E327" t="n">
        <v>0.5</v>
      </c>
      <c r="F327" t="n">
        <v>0</v>
      </c>
      <c r="G327" t="n">
        <v>11940.47</v>
      </c>
      <c r="H327" t="n">
        <v>100</v>
      </c>
      <c r="I327" t="n">
        <v>110</v>
      </c>
      <c r="J327" s="22">
        <f>H327*D327/I327</f>
        <v/>
      </c>
    </row>
    <row r="328">
      <c r="A328" t="n">
        <v>6000684</v>
      </c>
      <c r="B328" t="inlineStr">
        <is>
          <t>2000;2000</t>
        </is>
      </c>
      <c r="C328" t="inlineStr">
        <is>
          <t>CAMPERA FRISA NUEVO MODELO TM</t>
        </is>
      </c>
      <c r="D328" s="22" t="n">
        <v>0.2525272727272728</v>
      </c>
      <c r="E328" t="n">
        <v>0.54</v>
      </c>
      <c r="F328" t="n">
        <v>0</v>
      </c>
      <c r="G328" t="n">
        <v>11940.47</v>
      </c>
      <c r="H328" t="n">
        <v>100</v>
      </c>
      <c r="I328" t="n">
        <v>110</v>
      </c>
      <c r="J328" s="22">
        <f>H328*D328/I328</f>
        <v/>
      </c>
    </row>
    <row r="329">
      <c r="A329" t="n">
        <v>6000685</v>
      </c>
      <c r="B329" t="inlineStr">
        <is>
          <t>2000;2000</t>
        </is>
      </c>
      <c r="C329" t="inlineStr">
        <is>
          <t>CAMPERA FRISA NUEVO MODELO TL</t>
        </is>
      </c>
      <c r="D329" s="22" t="n">
        <v>0.2525272727272728</v>
      </c>
      <c r="E329" t="n">
        <v>0.57</v>
      </c>
      <c r="F329" t="n">
        <v>0</v>
      </c>
      <c r="G329" t="n">
        <v>11940.47</v>
      </c>
      <c r="H329" t="n">
        <v>100</v>
      </c>
      <c r="I329" t="n">
        <v>110</v>
      </c>
      <c r="J329" s="22">
        <f>H329*D329/I329</f>
        <v/>
      </c>
    </row>
    <row r="330">
      <c r="A330" t="n">
        <v>6000686</v>
      </c>
      <c r="B330" t="inlineStr">
        <is>
          <t>2000;2000</t>
        </is>
      </c>
      <c r="C330" t="inlineStr">
        <is>
          <t>CAMPERA FRISA NUEVO MODELO TXL</t>
        </is>
      </c>
      <c r="D330" s="22" t="n">
        <v>0.2525272727272728</v>
      </c>
      <c r="E330" t="n">
        <v>0.66</v>
      </c>
      <c r="F330" t="n">
        <v>0</v>
      </c>
      <c r="G330" t="n">
        <v>11940.47</v>
      </c>
      <c r="H330" t="n">
        <v>100</v>
      </c>
      <c r="I330" t="n">
        <v>110</v>
      </c>
      <c r="J330" s="22">
        <f>H330*D330/I330</f>
        <v/>
      </c>
    </row>
    <row r="331">
      <c r="A331" t="n">
        <v>6000967</v>
      </c>
      <c r="B331" t="inlineStr">
        <is>
          <t>2000;2000</t>
        </is>
      </c>
      <c r="C331" t="inlineStr">
        <is>
          <t>SILLA ONE (2 BCA + 1 AZU + 1 ROJ) X 4 UN</t>
        </is>
      </c>
      <c r="D331" s="22" t="n">
        <v>15.15151818181818</v>
      </c>
      <c r="E331" t="n">
        <v>21.5</v>
      </c>
      <c r="F331" t="n">
        <v>0</v>
      </c>
      <c r="G331" t="n">
        <v>92088.03</v>
      </c>
      <c r="H331" t="n">
        <v>100</v>
      </c>
      <c r="I331" t="n">
        <v>110</v>
      </c>
      <c r="J331" s="22">
        <f>H331*D331/I331</f>
        <v/>
      </c>
    </row>
    <row r="332">
      <c r="A332" t="n">
        <v>6001021</v>
      </c>
      <c r="B332" t="inlineStr">
        <is>
          <t>2000;2000</t>
        </is>
      </c>
      <c r="C332" t="inlineStr">
        <is>
          <t>CAPUCHÓN SUNDAE GO - OREO X 70 UN</t>
        </is>
      </c>
      <c r="D332" s="22" t="n">
        <v>1.082254545454546</v>
      </c>
      <c r="E332" t="n">
        <v>2.27</v>
      </c>
      <c r="F332" t="n">
        <v>0</v>
      </c>
      <c r="G332" t="n">
        <v>9268.42</v>
      </c>
      <c r="H332" t="n">
        <v>100</v>
      </c>
      <c r="I332" t="n">
        <v>110</v>
      </c>
      <c r="J332" s="22">
        <f>H332*D332/I332</f>
        <v/>
      </c>
    </row>
    <row r="333">
      <c r="A333" t="n">
        <v>6001022</v>
      </c>
      <c r="B333" t="inlineStr">
        <is>
          <t>2000;2000</t>
        </is>
      </c>
      <c r="C333" t="inlineStr">
        <is>
          <t>CAPUCHÓN SUNDAE GO MILKA GM X 70 UN</t>
        </is>
      </c>
      <c r="D333" s="22" t="n">
        <v>1.082254545454546</v>
      </c>
      <c r="E333" t="n">
        <v>2.33</v>
      </c>
      <c r="F333" t="n">
        <v>0</v>
      </c>
      <c r="G333" t="n">
        <v>9268.42</v>
      </c>
      <c r="H333" t="n">
        <v>100</v>
      </c>
      <c r="I333" t="n">
        <v>110</v>
      </c>
      <c r="J333" s="22">
        <f>H333*D333/I333</f>
        <v/>
      </c>
    </row>
    <row r="334">
      <c r="A334" t="n">
        <v>6001035</v>
      </c>
      <c r="B334" t="inlineStr">
        <is>
          <t>2000;2000</t>
        </is>
      </c>
      <c r="C334" t="inlineStr">
        <is>
          <t>SORBETE BIODEGRADABLE x 1000 UNID.</t>
        </is>
      </c>
      <c r="D334" s="22" t="n">
        <v>0.2754818181818182</v>
      </c>
      <c r="E334" t="n">
        <v>0.6</v>
      </c>
      <c r="F334" t="n">
        <v>0</v>
      </c>
      <c r="G334" t="n">
        <v>7695.94</v>
      </c>
      <c r="H334" t="n">
        <v>100</v>
      </c>
      <c r="I334" t="n">
        <v>110</v>
      </c>
      <c r="J334" s="22">
        <f>H334*D334/I334</f>
        <v/>
      </c>
    </row>
    <row r="335">
      <c r="A335" t="n">
        <v>6001040</v>
      </c>
      <c r="B335" t="inlineStr">
        <is>
          <t>2000;2000</t>
        </is>
      </c>
      <c r="C335" t="inlineStr">
        <is>
          <t>VASO SUNDAE GO SHOT X 160 UNID.</t>
        </is>
      </c>
      <c r="D335" s="22" t="n">
        <v>1.082254545454546</v>
      </c>
      <c r="E335" t="n">
        <v>1.67</v>
      </c>
      <c r="F335" t="n">
        <v>0</v>
      </c>
      <c r="G335" t="n">
        <v>5482.88</v>
      </c>
      <c r="H335" t="n">
        <v>100</v>
      </c>
      <c r="I335" t="n">
        <v>110</v>
      </c>
      <c r="J335" s="22">
        <f>H335*D335/I335</f>
        <v/>
      </c>
    </row>
    <row r="336">
      <c r="A336" t="n">
        <v>6001056</v>
      </c>
      <c r="B336" t="inlineStr">
        <is>
          <t>2000;2000</t>
        </is>
      </c>
      <c r="C336" t="inlineStr">
        <is>
          <t>VASO GRIDO BATIDO x 430 UNID</t>
        </is>
      </c>
      <c r="D336" s="22" t="n">
        <v>3.0303</v>
      </c>
      <c r="E336" t="n">
        <v>4.5</v>
      </c>
      <c r="F336" t="n">
        <v>0</v>
      </c>
      <c r="G336" t="n">
        <v>10664.99</v>
      </c>
      <c r="H336" t="n">
        <v>100</v>
      </c>
      <c r="I336" t="n">
        <v>110</v>
      </c>
      <c r="J336" s="22">
        <f>H336*D336/I336</f>
        <v/>
      </c>
    </row>
    <row r="337">
      <c r="A337" t="n">
        <v>6001057</v>
      </c>
      <c r="B337" t="inlineStr">
        <is>
          <t>2000;2000</t>
        </is>
      </c>
      <c r="C337" t="inlineStr">
        <is>
          <t>VASO DE AGUA x 1600 unid</t>
        </is>
      </c>
      <c r="D337" s="22" t="n">
        <v>3.0303</v>
      </c>
      <c r="E337" t="n">
        <v>3.92</v>
      </c>
      <c r="F337" t="n">
        <v>0</v>
      </c>
      <c r="G337" t="n">
        <v>10948.25</v>
      </c>
      <c r="H337" t="n">
        <v>100</v>
      </c>
      <c r="I337" t="n">
        <v>110</v>
      </c>
      <c r="J337" s="22">
        <f>H337*D337/I337</f>
        <v/>
      </c>
    </row>
    <row r="338">
      <c r="A338" t="n">
        <v>6001086</v>
      </c>
      <c r="B338" t="inlineStr">
        <is>
          <t>2000;2000</t>
        </is>
      </c>
      <c r="C338" t="inlineStr">
        <is>
          <t>REMERA BLANCA LOGO GRIDO TALLE S</t>
        </is>
      </c>
      <c r="D338" s="22" t="n">
        <v>0.1818181818181818</v>
      </c>
      <c r="E338" t="n">
        <v>0.16</v>
      </c>
      <c r="F338" t="n">
        <v>0</v>
      </c>
      <c r="G338" t="n">
        <v>4053.11</v>
      </c>
      <c r="H338" t="n">
        <v>100</v>
      </c>
      <c r="I338" t="n">
        <v>110</v>
      </c>
      <c r="J338" s="22">
        <f>H338*D338/I338</f>
        <v/>
      </c>
    </row>
    <row r="339">
      <c r="A339" t="n">
        <v>6001087</v>
      </c>
      <c r="B339" t="inlineStr">
        <is>
          <t>2000;2000</t>
        </is>
      </c>
      <c r="C339" t="inlineStr">
        <is>
          <t>REMERA BLANCA LOGO GRIDO TALLE M</t>
        </is>
      </c>
      <c r="D339" s="22" t="n">
        <v>0.1818181818181818</v>
      </c>
      <c r="E339" t="n">
        <v>0.18</v>
      </c>
      <c r="F339" t="n">
        <v>0</v>
      </c>
      <c r="G339" t="n">
        <v>4053.11</v>
      </c>
      <c r="H339" t="n">
        <v>100</v>
      </c>
      <c r="I339" t="n">
        <v>110</v>
      </c>
      <c r="J339" s="22">
        <f>H339*D339/I339</f>
        <v/>
      </c>
    </row>
    <row r="340">
      <c r="A340" t="n">
        <v>6001088</v>
      </c>
      <c r="B340" t="inlineStr">
        <is>
          <t>2000;2000</t>
        </is>
      </c>
      <c r="C340" t="inlineStr">
        <is>
          <t>REMERA BLANCA LOGO GRIDO TALLE L</t>
        </is>
      </c>
      <c r="D340" s="22" t="n">
        <v>0.1818181818181818</v>
      </c>
      <c r="E340" t="n">
        <v>0.18</v>
      </c>
      <c r="F340" t="n">
        <v>0</v>
      </c>
      <c r="G340" t="n">
        <v>4053.11</v>
      </c>
      <c r="H340" t="n">
        <v>100</v>
      </c>
      <c r="I340" t="n">
        <v>110</v>
      </c>
      <c r="J340" s="22">
        <f>H340*D340/I340</f>
        <v/>
      </c>
    </row>
    <row r="341">
      <c r="A341" t="n">
        <v>6001142</v>
      </c>
      <c r="B341" t="inlineStr">
        <is>
          <t>2000;2000</t>
        </is>
      </c>
      <c r="C341" t="inlineStr">
        <is>
          <t>DISPLAY P/ CUCURUCHON X 40 UN</t>
        </is>
      </c>
      <c r="D341" s="22" t="n">
        <v>0.6060636363636364</v>
      </c>
      <c r="E341" t="n">
        <v>1.57</v>
      </c>
      <c r="F341" t="n">
        <v>0</v>
      </c>
      <c r="G341" t="n">
        <v>3384.43</v>
      </c>
      <c r="H341" t="n">
        <v>100</v>
      </c>
      <c r="I341" t="n">
        <v>110</v>
      </c>
      <c r="J341" s="22">
        <f>H341*D341/I341</f>
        <v/>
      </c>
    </row>
    <row r="342">
      <c r="A342" t="n">
        <v>6001251</v>
      </c>
      <c r="B342" t="inlineStr">
        <is>
          <t>2000;2000</t>
        </is>
      </c>
      <c r="C342" t="inlineStr">
        <is>
          <t>BOLSA PAPEL KRAFT 25x13x30 x 100 uni</t>
        </is>
      </c>
      <c r="D342" s="22" t="n">
        <v>1.136363636363636</v>
      </c>
      <c r="E342" t="n">
        <v>3.96</v>
      </c>
      <c r="F342" t="n">
        <v>0</v>
      </c>
      <c r="G342" t="n">
        <v>4350.51</v>
      </c>
      <c r="H342" t="n">
        <v>100</v>
      </c>
      <c r="I342" t="n">
        <v>110</v>
      </c>
      <c r="J342" s="22">
        <f>H342*D342/I342</f>
        <v/>
      </c>
    </row>
    <row r="343">
      <c r="A343" t="n">
        <v>6001252</v>
      </c>
      <c r="B343" t="inlineStr">
        <is>
          <t>2000;2000</t>
        </is>
      </c>
      <c r="C343" t="inlineStr">
        <is>
          <t>BOLSA PAPEL KRAFT 35X15X47 X 100 unid</t>
        </is>
      </c>
      <c r="D343" s="22" t="n">
        <v>1.515154545454545</v>
      </c>
      <c r="E343" t="n">
        <v>6.75</v>
      </c>
      <c r="F343" t="n">
        <v>0</v>
      </c>
      <c r="G343" t="n">
        <v>7352.94</v>
      </c>
      <c r="H343" t="n">
        <v>100</v>
      </c>
      <c r="I343" t="n">
        <v>110</v>
      </c>
      <c r="J343" s="22">
        <f>H343*D343/I343</f>
        <v/>
      </c>
    </row>
    <row r="344">
      <c r="A344" t="n">
        <v>6001253</v>
      </c>
      <c r="B344" t="inlineStr">
        <is>
          <t>2000;2000</t>
        </is>
      </c>
      <c r="C344" t="inlineStr">
        <is>
          <t>BOLSA DISPLAY CUCURUCHON X 120 UNID.</t>
        </is>
      </c>
      <c r="D344" s="22" t="n">
        <v>0.09090909090909091</v>
      </c>
      <c r="E344" t="n">
        <v>0.16</v>
      </c>
      <c r="F344" t="n">
        <v>0</v>
      </c>
      <c r="G344" t="n">
        <v>441.98</v>
      </c>
      <c r="H344" t="n">
        <v>100</v>
      </c>
      <c r="I344" t="n">
        <v>110</v>
      </c>
      <c r="J344" s="22">
        <f>H344*D344/I344</f>
        <v/>
      </c>
    </row>
    <row r="345">
      <c r="A345" t="n">
        <v>6001390</v>
      </c>
      <c r="B345" t="inlineStr">
        <is>
          <t>2000;2000</t>
        </is>
      </c>
      <c r="C345" t="inlineStr">
        <is>
          <t>PAPEL HIGIENICO 4 x 30mts FELPITA</t>
        </is>
      </c>
      <c r="D345" s="22" t="n">
        <v>0.2525272727272728</v>
      </c>
      <c r="E345" t="n">
        <v>0.28</v>
      </c>
      <c r="F345" t="n">
        <v>0</v>
      </c>
      <c r="G345" t="n">
        <v>404.72</v>
      </c>
      <c r="H345" t="n">
        <v>100</v>
      </c>
      <c r="I345" t="n">
        <v>110</v>
      </c>
      <c r="J345" s="22">
        <f>H345*D345/I345</f>
        <v/>
      </c>
    </row>
    <row r="346">
      <c r="A346" t="n">
        <v>6000059</v>
      </c>
      <c r="B346" t="inlineStr">
        <is>
          <t>2000;2000</t>
        </is>
      </c>
      <c r="C346" t="inlineStr">
        <is>
          <t>BANDERA GRIDO</t>
        </is>
      </c>
      <c r="D346" s="22" t="n">
        <v>0.1515181818181818</v>
      </c>
      <c r="E346" t="n">
        <v>0.3</v>
      </c>
      <c r="F346" t="n">
        <v>0</v>
      </c>
      <c r="G346" t="n">
        <v>2251.31</v>
      </c>
      <c r="H346" t="n">
        <v>100</v>
      </c>
      <c r="I346" t="n">
        <v>110</v>
      </c>
      <c r="J346" s="22">
        <f>H346*D346/I346</f>
        <v/>
      </c>
    </row>
    <row r="347">
      <c r="A347" t="n">
        <v>6000097</v>
      </c>
      <c r="B347" t="inlineStr">
        <is>
          <t>2000;2000</t>
        </is>
      </c>
      <c r="C347" t="inlineStr">
        <is>
          <t>CAMPE DELIVERY C/ GUATA T L</t>
        </is>
      </c>
      <c r="D347" s="22" t="n">
        <v>1.515154545454545</v>
      </c>
      <c r="E347" t="n">
        <v>0.66</v>
      </c>
      <c r="F347" t="n">
        <v>0</v>
      </c>
      <c r="G347" t="n">
        <v>11030.64</v>
      </c>
      <c r="H347" t="n">
        <v>100</v>
      </c>
      <c r="I347" t="n">
        <v>110</v>
      </c>
      <c r="J347" s="22">
        <f>H347*D347/I347</f>
        <v/>
      </c>
    </row>
    <row r="348">
      <c r="A348" t="n">
        <v>6000098</v>
      </c>
      <c r="B348" t="inlineStr">
        <is>
          <t>2000;2000</t>
        </is>
      </c>
      <c r="C348" t="inlineStr">
        <is>
          <t>CAMPE DELIVERY C/ GUATA T M</t>
        </is>
      </c>
      <c r="D348" s="22" t="n">
        <v>1.515154545454545</v>
      </c>
      <c r="E348" t="n">
        <v>0.59</v>
      </c>
      <c r="F348" t="n">
        <v>0</v>
      </c>
      <c r="G348" t="n">
        <v>11030.64</v>
      </c>
      <c r="H348" t="n">
        <v>100</v>
      </c>
      <c r="I348" t="n">
        <v>110</v>
      </c>
      <c r="J348" s="22">
        <f>H348*D348/I348</f>
        <v/>
      </c>
    </row>
    <row r="349">
      <c r="A349" t="n">
        <v>6000099</v>
      </c>
      <c r="B349" t="inlineStr">
        <is>
          <t>2000;2000</t>
        </is>
      </c>
      <c r="C349" t="inlineStr">
        <is>
          <t>CAMPE DELIVERY C/ GUATA T S</t>
        </is>
      </c>
      <c r="D349" s="22" t="n">
        <v>1.515154545454545</v>
      </c>
      <c r="E349" t="n">
        <v>0.55</v>
      </c>
      <c r="F349" t="n">
        <v>0</v>
      </c>
      <c r="G349" t="n">
        <v>11030.64</v>
      </c>
      <c r="H349" t="n">
        <v>100</v>
      </c>
      <c r="I349" t="n">
        <v>110</v>
      </c>
      <c r="J349" s="22">
        <f>H349*D349/I349</f>
        <v/>
      </c>
    </row>
    <row r="350">
      <c r="A350" t="n">
        <v>6000100</v>
      </c>
      <c r="B350" t="inlineStr">
        <is>
          <t>2000;2000</t>
        </is>
      </c>
      <c r="C350" t="inlineStr">
        <is>
          <t>CAMPE DELIVERY C/ GUATA T XL</t>
        </is>
      </c>
      <c r="D350" s="22" t="n">
        <v>1.515154545454545</v>
      </c>
      <c r="E350" t="n">
        <v>0.67</v>
      </c>
      <c r="F350" t="n">
        <v>0</v>
      </c>
      <c r="G350" t="n">
        <v>11092.47</v>
      </c>
      <c r="H350" t="n">
        <v>100</v>
      </c>
      <c r="I350" t="n">
        <v>110</v>
      </c>
      <c r="J350" s="22">
        <f>H350*D350/I350</f>
        <v/>
      </c>
    </row>
    <row r="351">
      <c r="A351" t="n">
        <v>6000195</v>
      </c>
      <c r="B351" t="inlineStr">
        <is>
          <t>2000;2000</t>
        </is>
      </c>
      <c r="C351" t="inlineStr">
        <is>
          <t>ESPATULA MOD ITALIANO CORTE RECTO</t>
        </is>
      </c>
      <c r="D351" s="22" t="n">
        <v>0.1298727272727273</v>
      </c>
      <c r="E351" t="n">
        <v>0.11</v>
      </c>
      <c r="F351" t="n">
        <v>0</v>
      </c>
      <c r="G351" t="n">
        <v>1433.72</v>
      </c>
      <c r="H351" t="n">
        <v>100</v>
      </c>
      <c r="I351" t="n">
        <v>110</v>
      </c>
      <c r="J351" s="22">
        <f>H351*D351/I351</f>
        <v/>
      </c>
    </row>
    <row r="352">
      <c r="A352" t="n">
        <v>6000596</v>
      </c>
      <c r="B352" t="inlineStr">
        <is>
          <t>2000;2000</t>
        </is>
      </c>
      <c r="C352" t="inlineStr">
        <is>
          <t>40x50 bolsa Bio_Degradable x 1000 UN.</t>
        </is>
      </c>
      <c r="D352" s="22" t="n">
        <v>1.818181818181818</v>
      </c>
      <c r="E352" t="n">
        <v>7.8</v>
      </c>
      <c r="F352" t="n">
        <v>0</v>
      </c>
      <c r="G352" t="n">
        <v>21529.34</v>
      </c>
      <c r="H352" t="n">
        <v>100</v>
      </c>
      <c r="I352" t="n">
        <v>110</v>
      </c>
      <c r="J352" s="22">
        <f>H352*D352/I352</f>
        <v/>
      </c>
    </row>
    <row r="353">
      <c r="A353" t="n">
        <v>6000687</v>
      </c>
      <c r="B353" t="inlineStr">
        <is>
          <t>2000;2000</t>
        </is>
      </c>
      <c r="C353" t="inlineStr">
        <is>
          <t>CAMPERA FRISA NUEVO MODELO TXXL</t>
        </is>
      </c>
      <c r="D353" s="22" t="n">
        <v>1.515154545454545</v>
      </c>
      <c r="E353" t="n">
        <v>0.65</v>
      </c>
      <c r="F353" t="n">
        <v>0</v>
      </c>
      <c r="G353" t="n">
        <v>11940.47</v>
      </c>
      <c r="H353" t="n">
        <v>100</v>
      </c>
      <c r="I353" t="n">
        <v>110</v>
      </c>
      <c r="J353" s="22">
        <f>H353*D353/I353</f>
        <v/>
      </c>
    </row>
    <row r="354">
      <c r="A354" t="n">
        <v>6001084</v>
      </c>
      <c r="B354" t="inlineStr">
        <is>
          <t>2000;2000</t>
        </is>
      </c>
      <c r="C354" t="inlineStr">
        <is>
          <t>REMERA BLANCA LOGO GRIDO TALLE 14</t>
        </is>
      </c>
      <c r="D354" s="22" t="n">
        <v>0.1818181818181818</v>
      </c>
      <c r="E354" t="n">
        <v>0.14</v>
      </c>
      <c r="F354" t="n">
        <v>0</v>
      </c>
      <c r="G354" t="n">
        <v>4053.11</v>
      </c>
      <c r="H354" t="n">
        <v>100</v>
      </c>
      <c r="I354" t="n">
        <v>110</v>
      </c>
      <c r="J354" s="22">
        <f>H354*D354/I354</f>
        <v/>
      </c>
    </row>
    <row r="355">
      <c r="A355" t="n">
        <v>6001085</v>
      </c>
      <c r="B355" t="inlineStr">
        <is>
          <t>2000;2000</t>
        </is>
      </c>
      <c r="C355" t="inlineStr">
        <is>
          <t>REMERA BLANCA LOGO GRIDO TALLE 16</t>
        </is>
      </c>
      <c r="D355" s="22" t="n">
        <v>0.1818181818181818</v>
      </c>
      <c r="E355" t="n">
        <v>0.16</v>
      </c>
      <c r="F355" t="n">
        <v>0</v>
      </c>
      <c r="G355" t="n">
        <v>4053.11</v>
      </c>
      <c r="H355" t="n">
        <v>100</v>
      </c>
      <c r="I355" t="n">
        <v>110</v>
      </c>
      <c r="J355" s="22">
        <f>H355*D355/I355</f>
        <v/>
      </c>
    </row>
    <row r="356">
      <c r="A356" t="n">
        <v>6001089</v>
      </c>
      <c r="B356" t="inlineStr">
        <is>
          <t>2000;2000</t>
        </is>
      </c>
      <c r="C356" t="inlineStr">
        <is>
          <t>REMERA BLANCA LOGO GRIDO TALLE XL</t>
        </is>
      </c>
      <c r="D356" s="22" t="n">
        <v>0.1818181818181818</v>
      </c>
      <c r="E356" t="n">
        <v>0.2</v>
      </c>
      <c r="F356" t="n">
        <v>0</v>
      </c>
      <c r="G356" t="n">
        <v>4053.11</v>
      </c>
      <c r="H356" t="n">
        <v>100</v>
      </c>
      <c r="I356" t="n">
        <v>110</v>
      </c>
      <c r="J356" s="22">
        <f>H356*D356/I356</f>
        <v/>
      </c>
    </row>
    <row r="357">
      <c r="A357" t="n">
        <v>6001090</v>
      </c>
      <c r="B357" t="inlineStr">
        <is>
          <t>2000;2000</t>
        </is>
      </c>
      <c r="C357" t="inlineStr">
        <is>
          <t>REMERA BLANCA LOGO GRIDO TALLE XXL</t>
        </is>
      </c>
      <c r="D357" s="22" t="n">
        <v>0.1818181818181818</v>
      </c>
      <c r="E357" t="n">
        <v>0.2</v>
      </c>
      <c r="F357" t="n">
        <v>0</v>
      </c>
      <c r="G357" t="n">
        <v>4053.11</v>
      </c>
      <c r="H357" t="n">
        <v>100</v>
      </c>
      <c r="I357" t="n">
        <v>110</v>
      </c>
      <c r="J357" s="22">
        <f>H357*D357/I357</f>
        <v/>
      </c>
    </row>
    <row r="358">
      <c r="A358" t="n">
        <v>6001119</v>
      </c>
      <c r="B358" t="inlineStr">
        <is>
          <t>2000;2000</t>
        </is>
      </c>
      <c r="C358" t="inlineStr">
        <is>
          <t>CARETA PROT. FACIAL PET 1MM X UNID</t>
        </is>
      </c>
      <c r="D358" s="22" t="n">
        <v>0.09090909090909091</v>
      </c>
      <c r="E358" t="n">
        <v>0.1</v>
      </c>
      <c r="F358" t="n">
        <v>0</v>
      </c>
      <c r="G358" t="n">
        <v>464.4</v>
      </c>
      <c r="H358" t="n">
        <v>100</v>
      </c>
      <c r="I358" t="n">
        <v>110</v>
      </c>
      <c r="J358" s="22">
        <f>H358*D358/I358</f>
        <v/>
      </c>
    </row>
    <row r="359">
      <c r="A359" t="n">
        <v>6001869</v>
      </c>
      <c r="B359" t="inlineStr">
        <is>
          <t>2000;2000</t>
        </is>
      </c>
      <c r="C359" t="inlineStr">
        <is>
          <t>OREO BANADAS CH BCO 16X119G</t>
        </is>
      </c>
      <c r="D359" s="22" t="n">
        <v>1.136363636363636</v>
      </c>
      <c r="E359" t="n">
        <v>1.9</v>
      </c>
      <c r="F359" t="n">
        <v>0</v>
      </c>
      <c r="G359" t="n">
        <v>9084.51</v>
      </c>
      <c r="H359" t="n">
        <v>100</v>
      </c>
      <c r="I359" t="n">
        <v>110</v>
      </c>
      <c r="J359" s="22">
        <f>H359*D359/I359</f>
        <v/>
      </c>
    </row>
    <row r="360">
      <c r="A360" t="n">
        <v>6001870</v>
      </c>
      <c r="B360" t="inlineStr">
        <is>
          <t>2000;2000</t>
        </is>
      </c>
      <c r="C360" t="inlineStr">
        <is>
          <t>OREO BANADAS CHOCO 16X119G</t>
        </is>
      </c>
      <c r="D360" s="22" t="n">
        <v>1.136363636363636</v>
      </c>
      <c r="E360" t="n">
        <v>1.9</v>
      </c>
      <c r="F360" t="n">
        <v>0</v>
      </c>
      <c r="G360" t="n">
        <v>9084.51</v>
      </c>
      <c r="H360" t="n">
        <v>100</v>
      </c>
      <c r="I360" t="n">
        <v>110</v>
      </c>
      <c r="J360" s="22">
        <f>H360*D360/I360</f>
        <v/>
      </c>
    </row>
    <row r="361">
      <c r="A361" t="n">
        <v>6001873</v>
      </c>
      <c r="B361" t="inlineStr">
        <is>
          <t>2000;2000</t>
        </is>
      </c>
      <c r="C361" t="inlineStr">
        <is>
          <t>RHODESIA ESTUCHE X 36 UN</t>
        </is>
      </c>
      <c r="D361" s="22" t="n">
        <v>1.893636363636364</v>
      </c>
      <c r="E361" t="n">
        <v>0.79</v>
      </c>
      <c r="F361" t="n">
        <v>0</v>
      </c>
      <c r="G361" t="n">
        <v>3069.75</v>
      </c>
      <c r="H361" t="n">
        <v>100</v>
      </c>
      <c r="I361" t="n">
        <v>110</v>
      </c>
      <c r="J361" s="22">
        <f>H361*D361/I361</f>
        <v/>
      </c>
    </row>
    <row r="362">
      <c r="A362" t="n">
        <v>6001874</v>
      </c>
      <c r="B362" t="inlineStr">
        <is>
          <t>2000;2000</t>
        </is>
      </c>
      <c r="C362" t="inlineStr">
        <is>
          <t>TITA DISPLAY X 36 UN</t>
        </is>
      </c>
      <c r="D362" s="22" t="n">
        <v>2.171818181818181</v>
      </c>
      <c r="E362" t="n">
        <v>0.65</v>
      </c>
      <c r="F362" t="n">
        <v>0</v>
      </c>
      <c r="G362" t="n">
        <v>2794.52</v>
      </c>
      <c r="H362" t="n">
        <v>100</v>
      </c>
      <c r="I362" t="n">
        <v>110</v>
      </c>
      <c r="J362" s="22">
        <f>H362*D362/I362</f>
        <v/>
      </c>
    </row>
    <row r="363">
      <c r="A363" t="n">
        <v>6001875</v>
      </c>
      <c r="B363" t="inlineStr">
        <is>
          <t>2000;2000</t>
        </is>
      </c>
      <c r="C363" t="inlineStr">
        <is>
          <t>MILKA BIS X 55 UN</t>
        </is>
      </c>
      <c r="D363" s="22" t="n">
        <v>0.7509090909090909</v>
      </c>
      <c r="E363" t="n">
        <v>5.81</v>
      </c>
      <c r="F363" t="n">
        <v>0</v>
      </c>
      <c r="G363" t="n">
        <v>17229.96</v>
      </c>
      <c r="H363" t="n">
        <v>100</v>
      </c>
      <c r="I363" t="n">
        <v>110</v>
      </c>
      <c r="J363" s="22">
        <f>H363*D363/I363</f>
        <v/>
      </c>
    </row>
    <row r="364">
      <c r="A364" t="n">
        <v>6001881</v>
      </c>
      <c r="B364" t="inlineStr">
        <is>
          <t>2000;2000</t>
        </is>
      </c>
      <c r="C364" t="inlineStr">
        <is>
          <t>CUPS BLACK MENTA 45 x 3 UN</t>
        </is>
      </c>
      <c r="D364" s="22" t="n">
        <v>1.893936363636364</v>
      </c>
      <c r="E364" t="n">
        <v>3.83</v>
      </c>
      <c r="F364" t="n">
        <v>0</v>
      </c>
      <c r="G364" t="n">
        <v>6001.59</v>
      </c>
      <c r="H364" t="n">
        <v>100</v>
      </c>
      <c r="I364" t="n">
        <v>110</v>
      </c>
      <c r="J364" s="22">
        <f>H364*D364/I364</f>
        <v/>
      </c>
    </row>
    <row r="365">
      <c r="A365" t="n">
        <v>6000475</v>
      </c>
      <c r="B365" t="inlineStr">
        <is>
          <t>2000;2000</t>
        </is>
      </c>
      <c r="C365" t="inlineStr">
        <is>
          <t>TAPA P/POTE 1/4  GRIDO x 500 UN</t>
        </is>
      </c>
      <c r="D365" s="22" t="n">
        <v>3.787881818181818</v>
      </c>
      <c r="E365" t="n">
        <v>2.35</v>
      </c>
      <c r="F365" t="n">
        <v>0</v>
      </c>
      <c r="G365" t="n">
        <v>6939.09</v>
      </c>
      <c r="H365" t="n">
        <v>100</v>
      </c>
      <c r="I365" t="n">
        <v>110</v>
      </c>
      <c r="J365" s="22">
        <f>H365*D365/I365</f>
        <v/>
      </c>
    </row>
    <row r="366">
      <c r="A366" t="n">
        <v>6000389</v>
      </c>
      <c r="B366" t="inlineStr">
        <is>
          <t>2000;2000</t>
        </is>
      </c>
      <c r="C366" t="inlineStr">
        <is>
          <t>POTE TERMICO  1/4KG IMPRESO X 500 unid.</t>
        </is>
      </c>
      <c r="D366" s="22" t="n">
        <v>1.262627272727273</v>
      </c>
      <c r="E366" t="n">
        <v>2.32</v>
      </c>
      <c r="F366" t="n">
        <v>0</v>
      </c>
      <c r="G366" t="n">
        <v>14578.98</v>
      </c>
      <c r="H366" t="n">
        <v>100</v>
      </c>
      <c r="I366" t="n">
        <v>110</v>
      </c>
      <c r="J366" s="22">
        <f>H366*D366/I366</f>
        <v/>
      </c>
    </row>
    <row r="367">
      <c r="A367" t="n">
        <v>6002216</v>
      </c>
      <c r="B367" t="inlineStr">
        <is>
          <t>2000;2000</t>
        </is>
      </c>
      <c r="C367" t="inlineStr">
        <is>
          <t>VASO PASTA N° 125 X 174 UN</t>
        </is>
      </c>
      <c r="D367" s="22" t="n">
        <v>1.136363636363636</v>
      </c>
      <c r="E367" t="n">
        <v>1.66</v>
      </c>
      <c r="F367" t="n">
        <v>0</v>
      </c>
      <c r="G367" t="n">
        <v>1731.45</v>
      </c>
      <c r="H367" t="n">
        <v>100</v>
      </c>
      <c r="I367" t="n">
        <v>110</v>
      </c>
      <c r="J367" s="22">
        <f>H367*D367/I367</f>
        <v/>
      </c>
    </row>
    <row r="368">
      <c r="A368" t="n">
        <v>6000218</v>
      </c>
      <c r="B368" t="inlineStr">
        <is>
          <t>2000;2000</t>
        </is>
      </c>
      <c r="C368" t="inlineStr">
        <is>
          <t>EXHIBIDORA VERT MOD. FAMV420BTDINAM PLOT</t>
        </is>
      </c>
      <c r="D368" s="22" t="n">
        <v>90.90909090909091</v>
      </c>
      <c r="E368" t="n">
        <v>88</v>
      </c>
      <c r="F368" t="n">
        <v>0</v>
      </c>
      <c r="G368" t="n">
        <v>611005.67</v>
      </c>
      <c r="H368" t="n">
        <v>100</v>
      </c>
      <c r="I368" t="n">
        <v>110</v>
      </c>
      <c r="J368" s="22">
        <f>H368*D368/I368</f>
        <v/>
      </c>
    </row>
    <row r="369">
      <c r="A369" t="n">
        <v>6000233</v>
      </c>
      <c r="B369" t="inlineStr">
        <is>
          <t>2000;2000</t>
        </is>
      </c>
      <c r="C369" t="inlineStr">
        <is>
          <t>FAJA ESMERILADA NUEVO MODELO X 2 MTS</t>
        </is>
      </c>
      <c r="D369" s="22" t="n">
        <v>0.09090909090909091</v>
      </c>
      <c r="E369" t="n">
        <v>0.07000000000000001</v>
      </c>
      <c r="F369" t="n">
        <v>0</v>
      </c>
      <c r="G369" t="n">
        <v>1939.19</v>
      </c>
      <c r="H369" t="n">
        <v>100</v>
      </c>
      <c r="I369" t="n">
        <v>110</v>
      </c>
      <c r="J369" s="22">
        <f>H369*D369/I369</f>
        <v/>
      </c>
    </row>
    <row r="370">
      <c r="A370" t="n">
        <v>6002204</v>
      </c>
      <c r="B370" t="inlineStr">
        <is>
          <t>2000;2000</t>
        </is>
      </c>
      <c r="C370" t="inlineStr">
        <is>
          <t>SOPORTE DE VIDRIERA 60 X 87CM X UN</t>
        </is>
      </c>
      <c r="D370" s="22" t="n">
        <v>0.09090909090909091</v>
      </c>
      <c r="E370" t="n">
        <v>0.84</v>
      </c>
      <c r="F370" t="n">
        <v>0</v>
      </c>
      <c r="G370" t="n">
        <v>10751.65</v>
      </c>
      <c r="H370" t="n">
        <v>100</v>
      </c>
      <c r="I370" t="n">
        <v>110</v>
      </c>
      <c r="J370" s="22">
        <f>H370*D370/I370</f>
        <v/>
      </c>
    </row>
    <row r="371">
      <c r="A371" t="n">
        <v>6002205</v>
      </c>
      <c r="B371" t="inlineStr">
        <is>
          <t>2000;2000</t>
        </is>
      </c>
      <c r="C371" t="inlineStr">
        <is>
          <t>SOPORTE ACRILICO DE CAJA  VERTICAL X UN</t>
        </is>
      </c>
      <c r="D371" s="22" t="n">
        <v>0.09090909090909091</v>
      </c>
      <c r="E371" t="n">
        <v>0.16</v>
      </c>
      <c r="F371" t="n">
        <v>0</v>
      </c>
      <c r="G371" t="n">
        <v>1124.46</v>
      </c>
      <c r="H371" t="n">
        <v>100</v>
      </c>
      <c r="I371" t="n">
        <v>110</v>
      </c>
      <c r="J371" s="22">
        <f>H371*D371/I371</f>
        <v/>
      </c>
    </row>
    <row r="372">
      <c r="A372" t="n">
        <v>6000789</v>
      </c>
      <c r="B372" t="inlineStr">
        <is>
          <t>2000;2000</t>
        </is>
      </c>
      <c r="C372" t="inlineStr">
        <is>
          <t>BARRA MDF 18 MM ESTRUCT CAÑO 180 X 60CM</t>
        </is>
      </c>
      <c r="D372" s="22" t="n">
        <v>45.45454545454545</v>
      </c>
      <c r="E372" t="n">
        <v>25</v>
      </c>
      <c r="F372" t="n">
        <v>0</v>
      </c>
      <c r="G372" t="n">
        <v>54632.19</v>
      </c>
      <c r="H372" t="n">
        <v>100</v>
      </c>
      <c r="I372" t="n">
        <v>110</v>
      </c>
      <c r="J372" s="22">
        <f>H372*D372/I372</f>
        <v/>
      </c>
    </row>
    <row r="373">
      <c r="A373" t="n">
        <v>6000448</v>
      </c>
      <c r="B373" t="inlineStr">
        <is>
          <t>2000;2000</t>
        </is>
      </c>
      <c r="C373" t="inlineStr">
        <is>
          <t>BUTACON BARI AZUL GRIDO</t>
        </is>
      </c>
      <c r="D373" s="22" t="n">
        <v>15.15151818181818</v>
      </c>
      <c r="E373" t="n">
        <v>18</v>
      </c>
      <c r="F373" t="n">
        <v>0</v>
      </c>
      <c r="G373" t="n">
        <v>52048.33</v>
      </c>
      <c r="H373" t="n">
        <v>100</v>
      </c>
      <c r="I373" t="n">
        <v>110</v>
      </c>
      <c r="J373" s="22">
        <f>H373*D373/I373</f>
        <v/>
      </c>
    </row>
    <row r="374">
      <c r="A374" t="n">
        <v>6001038</v>
      </c>
      <c r="B374" t="inlineStr">
        <is>
          <t>2000;2000</t>
        </is>
      </c>
      <c r="C374" t="inlineStr">
        <is>
          <t>VASO SUNDAE GO MILKA GM X 160 UND.</t>
        </is>
      </c>
      <c r="D374" s="22" t="n">
        <v>1.082254545454546</v>
      </c>
      <c r="E374" t="n">
        <v>1.68</v>
      </c>
      <c r="F374" t="n">
        <v>0</v>
      </c>
      <c r="G374" t="n">
        <v>5482.88</v>
      </c>
      <c r="H374" t="n">
        <v>100</v>
      </c>
      <c r="I374" t="n">
        <v>110</v>
      </c>
      <c r="J374" s="22">
        <f>H374*D374/I374</f>
        <v/>
      </c>
    </row>
    <row r="375">
      <c r="A375" t="n">
        <v>6000161</v>
      </c>
      <c r="B375" t="inlineStr">
        <is>
          <t>2000;2000</t>
        </is>
      </c>
      <c r="C375" t="inlineStr">
        <is>
          <t>CONSERVADORA PARA HELADOS MOD. FAM 42 TC</t>
        </is>
      </c>
      <c r="D375" s="22" t="n">
        <v>45.45454545454545</v>
      </c>
      <c r="E375" t="n">
        <v>0</v>
      </c>
      <c r="F375" t="n">
        <v>0</v>
      </c>
      <c r="G375" t="n">
        <v>646337.45</v>
      </c>
      <c r="H375" t="n">
        <v>100</v>
      </c>
      <c r="I375" t="n">
        <v>110</v>
      </c>
      <c r="J375" s="22">
        <f>H375*D375/I375</f>
        <v/>
      </c>
    </row>
    <row r="376">
      <c r="A376" t="n">
        <v>6000192</v>
      </c>
      <c r="B376" t="inlineStr">
        <is>
          <t>2000;2000</t>
        </is>
      </c>
      <c r="C376" t="inlineStr">
        <is>
          <t>CUCURUCHON X 200 UNID</t>
        </is>
      </c>
      <c r="D376" s="22" t="n">
        <v>3.0303</v>
      </c>
      <c r="E376" t="n">
        <v>4.99</v>
      </c>
      <c r="F376" t="n">
        <v>0</v>
      </c>
      <c r="G376" t="n">
        <v>6238.64</v>
      </c>
      <c r="H376" t="n">
        <v>100</v>
      </c>
      <c r="I376" t="n">
        <v>110</v>
      </c>
      <c r="J376" s="22">
        <f>H376*D376/I376</f>
        <v/>
      </c>
    </row>
    <row r="377">
      <c r="A377" t="n">
        <v>6000216</v>
      </c>
      <c r="B377" t="inlineStr">
        <is>
          <t>2000;2000</t>
        </is>
      </c>
      <c r="C377" t="inlineStr">
        <is>
          <t>EXHIBIDOR TOPS X 4 UNID.</t>
        </is>
      </c>
      <c r="D377" s="22" t="n">
        <v>1.818181818181818</v>
      </c>
      <c r="E377" t="n">
        <v>1.29</v>
      </c>
      <c r="F377" t="n">
        <v>0</v>
      </c>
      <c r="G377" t="n">
        <v>17621.77</v>
      </c>
      <c r="H377" t="n">
        <v>100</v>
      </c>
      <c r="I377" t="n">
        <v>110</v>
      </c>
      <c r="J377" s="22">
        <f>H377*D377/I377</f>
        <v/>
      </c>
    </row>
    <row r="378">
      <c r="A378" t="n">
        <v>6002206</v>
      </c>
      <c r="B378" t="inlineStr">
        <is>
          <t>2000;2000</t>
        </is>
      </c>
      <c r="C378" t="inlineStr">
        <is>
          <t>SOPORTE ACRÍLICO DE MOSTRADOR HORIZ X UN</t>
        </is>
      </c>
      <c r="D378" s="22" t="n">
        <v>0.09090909090909091</v>
      </c>
      <c r="E378" t="n">
        <v>0.14</v>
      </c>
      <c r="F378" t="n">
        <v>0</v>
      </c>
      <c r="G378" t="n">
        <v>1165.5</v>
      </c>
      <c r="H378" t="n">
        <v>100</v>
      </c>
      <c r="I378" t="n">
        <v>110</v>
      </c>
      <c r="J378" s="22">
        <f>H378*D378/I378</f>
        <v/>
      </c>
    </row>
    <row r="379">
      <c r="A379" t="n">
        <v>6000411</v>
      </c>
      <c r="B379" t="inlineStr">
        <is>
          <t>2000;2000</t>
        </is>
      </c>
      <c r="C379" t="inlineStr">
        <is>
          <t>REPUESTO FUNDA AISLANTE POLIET. 10 MM</t>
        </is>
      </c>
      <c r="D379" s="22" t="n">
        <v>0.09090909090909091</v>
      </c>
      <c r="E379" t="n">
        <v>0.22</v>
      </c>
      <c r="F379" t="n">
        <v>0</v>
      </c>
      <c r="G379" t="n">
        <v>589.9</v>
      </c>
      <c r="H379" t="n">
        <v>100</v>
      </c>
      <c r="I379" t="n">
        <v>110</v>
      </c>
      <c r="J379" s="22">
        <f>H379*D379/I379</f>
        <v/>
      </c>
    </row>
    <row r="380">
      <c r="A380" t="n">
        <v>6001467</v>
      </c>
      <c r="B380" t="inlineStr">
        <is>
          <t>2000;2000</t>
        </is>
      </c>
      <c r="C380" t="inlineStr">
        <is>
          <t>PACK LÁMINAS PVC CARTELERA x 5 UN</t>
        </is>
      </c>
      <c r="D380" s="22" t="n">
        <v>0.09090909090909091</v>
      </c>
      <c r="E380" t="n">
        <v>5.5</v>
      </c>
      <c r="F380" t="n">
        <v>0</v>
      </c>
      <c r="G380" t="n">
        <v>44687.5</v>
      </c>
      <c r="H380" t="n">
        <v>100</v>
      </c>
      <c r="I380" t="n">
        <v>110</v>
      </c>
      <c r="J380" s="22">
        <f>H380*D380/I380</f>
        <v/>
      </c>
    </row>
    <row r="381">
      <c r="A381" t="n">
        <v>6000163</v>
      </c>
      <c r="B381" t="inlineStr">
        <is>
          <t>2000;2000</t>
        </is>
      </c>
      <c r="C381" t="inlineStr">
        <is>
          <t>CONSERVADORA  MOD. FAM30 INOX</t>
        </is>
      </c>
      <c r="D381" s="22" t="n">
        <v>45.45454545454545</v>
      </c>
      <c r="E381" t="n">
        <v>60</v>
      </c>
      <c r="F381" t="n">
        <v>0</v>
      </c>
      <c r="G381" t="n">
        <v>409072.79</v>
      </c>
      <c r="H381" t="n">
        <v>100</v>
      </c>
      <c r="I381" t="n">
        <v>110</v>
      </c>
      <c r="J381" s="22">
        <f>H381*D381/I381</f>
        <v/>
      </c>
    </row>
    <row r="382">
      <c r="A382" t="n">
        <v>6000162</v>
      </c>
      <c r="B382" t="inlineStr">
        <is>
          <t>2000;2000</t>
        </is>
      </c>
      <c r="C382" t="inlineStr">
        <is>
          <t>CONSERVADORA PARA HELADOS MOD.FAM30 _ITC</t>
        </is>
      </c>
      <c r="D382" s="22" t="n">
        <v>45.45454545454545</v>
      </c>
      <c r="E382" t="n">
        <v>60</v>
      </c>
      <c r="F382" t="n">
        <v>0</v>
      </c>
      <c r="G382" t="n">
        <v>436081.2</v>
      </c>
      <c r="H382" t="n">
        <v>100</v>
      </c>
      <c r="I382" t="n">
        <v>110</v>
      </c>
      <c r="J382" s="22">
        <f>H382*D382/I382</f>
        <v/>
      </c>
    </row>
    <row r="383">
      <c r="A383" t="n">
        <v>6001472</v>
      </c>
      <c r="B383" t="inlineStr">
        <is>
          <t>2000;2000</t>
        </is>
      </c>
      <c r="C383" t="inlineStr">
        <is>
          <t>CONSERVADORA PARA HELADO FAM66TA</t>
        </is>
      </c>
      <c r="D383" s="22" t="n">
        <v>45.45454545454545</v>
      </c>
      <c r="E383" t="n">
        <v>80</v>
      </c>
      <c r="F383" t="n">
        <v>0</v>
      </c>
      <c r="G383" t="n">
        <v>583863.5600000001</v>
      </c>
      <c r="H383" t="n">
        <v>100</v>
      </c>
      <c r="I383" t="n">
        <v>110</v>
      </c>
      <c r="J383" s="22">
        <f>H383*D383/I383</f>
        <v/>
      </c>
    </row>
    <row r="384">
      <c r="A384" t="n">
        <v>6001078</v>
      </c>
      <c r="B384" t="inlineStr">
        <is>
          <t>2000;2000</t>
        </is>
      </c>
      <c r="C384" t="inlineStr">
        <is>
          <t>POTE 1/4 RAPECA X 580 UNID.</t>
        </is>
      </c>
      <c r="D384" s="22" t="n">
        <v>3.0303</v>
      </c>
      <c r="E384" t="n">
        <v>5.76</v>
      </c>
      <c r="F384" t="n">
        <v>0</v>
      </c>
      <c r="G384" t="n">
        <v>21191.87</v>
      </c>
      <c r="H384" t="n">
        <v>100</v>
      </c>
      <c r="I384" t="n">
        <v>110</v>
      </c>
      <c r="J384" s="22">
        <f>H384*D384/I384</f>
        <v/>
      </c>
    </row>
    <row r="385">
      <c r="A385" t="n">
        <v>6001072</v>
      </c>
      <c r="B385" t="inlineStr">
        <is>
          <t>2000;2000</t>
        </is>
      </c>
      <c r="C385" t="inlineStr">
        <is>
          <t>TACITA POLIPAPEL X 300 UND.</t>
        </is>
      </c>
      <c r="D385" s="22" t="n">
        <v>1.515154545454545</v>
      </c>
      <c r="E385" t="n">
        <v>2.8</v>
      </c>
      <c r="F385" t="n">
        <v>0</v>
      </c>
      <c r="G385" t="n">
        <v>8331.440000000001</v>
      </c>
      <c r="H385" t="n">
        <v>100</v>
      </c>
      <c r="I385" t="n">
        <v>110</v>
      </c>
      <c r="J385" s="22">
        <f>H385*D385/I385</f>
        <v/>
      </c>
    </row>
    <row r="386">
      <c r="A386" t="n">
        <v>6000429</v>
      </c>
      <c r="B386" t="inlineStr">
        <is>
          <t>2000;2000</t>
        </is>
      </c>
      <c r="C386" t="inlineStr">
        <is>
          <t>SALSA PREM. CARAMELO X500 grs. X 12UN</t>
        </is>
      </c>
      <c r="D386" s="22" t="n">
        <v>0.7575727272727273</v>
      </c>
      <c r="E386" t="n">
        <v>6.66</v>
      </c>
      <c r="F386" t="n">
        <v>0</v>
      </c>
      <c r="G386" t="n">
        <v>5565.75</v>
      </c>
      <c r="H386" t="n">
        <v>100</v>
      </c>
      <c r="I386" t="n">
        <v>110</v>
      </c>
      <c r="J386" s="22">
        <f>H386*D386/I386</f>
        <v/>
      </c>
    </row>
    <row r="387">
      <c r="A387" t="n">
        <v>6000430</v>
      </c>
      <c r="B387" t="inlineStr">
        <is>
          <t>2000;2000</t>
        </is>
      </c>
      <c r="C387" t="inlineStr">
        <is>
          <t>SALSA PREM. CHOCOLATE X500 grs. X 12UN</t>
        </is>
      </c>
      <c r="D387" s="22" t="n">
        <v>0.7575727272727273</v>
      </c>
      <c r="E387" t="n">
        <v>6.66</v>
      </c>
      <c r="F387" t="n">
        <v>0</v>
      </c>
      <c r="G387" t="n">
        <v>6189.36</v>
      </c>
      <c r="H387" t="n">
        <v>100</v>
      </c>
      <c r="I387" t="n">
        <v>110</v>
      </c>
      <c r="J387" s="22">
        <f>H387*D387/I387</f>
        <v/>
      </c>
    </row>
    <row r="388">
      <c r="A388" t="n">
        <v>6000431</v>
      </c>
      <c r="B388" t="inlineStr">
        <is>
          <t>2000;2000</t>
        </is>
      </c>
      <c r="C388" t="inlineStr">
        <is>
          <t>SALSA PREM. D. DE LECHE X500 grs. X 12UN</t>
        </is>
      </c>
      <c r="D388" s="22" t="n">
        <v>0.7575727272727273</v>
      </c>
      <c r="E388" t="n">
        <v>6.66</v>
      </c>
      <c r="F388" t="n">
        <v>0</v>
      </c>
      <c r="G388" t="n">
        <v>6239.79</v>
      </c>
      <c r="H388" t="n">
        <v>100</v>
      </c>
      <c r="I388" t="n">
        <v>110</v>
      </c>
      <c r="J388" s="22">
        <f>H388*D388/I388</f>
        <v/>
      </c>
    </row>
    <row r="389">
      <c r="A389" t="n">
        <v>6000432</v>
      </c>
      <c r="B389" t="inlineStr">
        <is>
          <t>2000;2000</t>
        </is>
      </c>
      <c r="C389" t="inlineStr">
        <is>
          <t>SALSA PREM.  FRUTILLA X500 grs. X 12UN</t>
        </is>
      </c>
      <c r="D389" s="22" t="n">
        <v>0.7575727272727273</v>
      </c>
      <c r="E389" t="n">
        <v>6.66</v>
      </c>
      <c r="F389" t="n">
        <v>0</v>
      </c>
      <c r="G389" t="n">
        <v>5455.05</v>
      </c>
      <c r="H389" t="n">
        <v>100</v>
      </c>
      <c r="I389" t="n">
        <v>110</v>
      </c>
      <c r="J389" s="22">
        <f>H389*D389/I389</f>
        <v/>
      </c>
    </row>
    <row r="390">
      <c r="A390" t="n">
        <v>6000674</v>
      </c>
      <c r="B390" t="inlineStr">
        <is>
          <t>2000;2000</t>
        </is>
      </c>
      <c r="C390" t="inlineStr">
        <is>
          <t>SALSA PREM. FR. PATAGONICOS X500 g. X 12</t>
        </is>
      </c>
      <c r="D390" s="22" t="n">
        <v>0.7575727272727273</v>
      </c>
      <c r="E390" t="n">
        <v>6.67</v>
      </c>
      <c r="F390" t="n">
        <v>0</v>
      </c>
      <c r="G390" t="n">
        <v>5867.1</v>
      </c>
      <c r="H390" t="n">
        <v>100</v>
      </c>
      <c r="I390" t="n">
        <v>110</v>
      </c>
      <c r="J390" s="22">
        <f>H390*D390/I390</f>
        <v/>
      </c>
    </row>
    <row r="391">
      <c r="A391" t="n">
        <v>6000014</v>
      </c>
      <c r="B391" t="inlineStr">
        <is>
          <t>2000;2000</t>
        </is>
      </c>
      <c r="C391" t="inlineStr">
        <is>
          <t>CUPS CONITO X 40 BLISTER</t>
        </is>
      </c>
      <c r="D391" s="22" t="n">
        <v>1.443</v>
      </c>
      <c r="E391" t="n">
        <v>1.12</v>
      </c>
      <c r="F391" t="n">
        <v>0</v>
      </c>
      <c r="G391" t="n">
        <v>2779.48</v>
      </c>
      <c r="H391" t="n">
        <v>100</v>
      </c>
      <c r="I391" t="n">
        <v>110</v>
      </c>
      <c r="J391" s="22">
        <f>H391*D391/I391</f>
        <v/>
      </c>
    </row>
    <row r="392">
      <c r="A392" t="n">
        <v>6000101</v>
      </c>
      <c r="B392" t="inlineStr">
        <is>
          <t>2000;2000</t>
        </is>
      </c>
      <c r="C392" t="inlineStr">
        <is>
          <t>CAPELINA GRANDE X 72 unid.</t>
        </is>
      </c>
      <c r="D392" s="22" t="n">
        <v>1.0101</v>
      </c>
      <c r="E392" t="n">
        <v>1.83</v>
      </c>
      <c r="F392" t="n">
        <v>0</v>
      </c>
      <c r="G392" t="n">
        <v>3467.95</v>
      </c>
      <c r="H392" t="n">
        <v>100</v>
      </c>
      <c r="I392" t="n">
        <v>110</v>
      </c>
      <c r="J392" s="22">
        <f>H392*D392/I392</f>
        <v/>
      </c>
    </row>
    <row r="393">
      <c r="A393" t="n">
        <v>6000196</v>
      </c>
      <c r="B393" t="inlineStr">
        <is>
          <t>2000;2000</t>
        </is>
      </c>
      <c r="C393" t="inlineStr">
        <is>
          <t>CUPS VASO X 40 BLISTER</t>
        </is>
      </c>
      <c r="D393" s="22" t="n">
        <v>1.443</v>
      </c>
      <c r="E393" t="n">
        <v>1.28</v>
      </c>
      <c r="F393" t="n">
        <v>0</v>
      </c>
      <c r="G393" t="n">
        <v>2779.48</v>
      </c>
      <c r="H393" t="n">
        <v>100</v>
      </c>
      <c r="I393" t="n">
        <v>110</v>
      </c>
      <c r="J393" s="22">
        <f>H393*D393/I393</f>
        <v/>
      </c>
    </row>
    <row r="394">
      <c r="A394" t="n">
        <v>6000388</v>
      </c>
      <c r="B394" t="inlineStr">
        <is>
          <t>2000;2000</t>
        </is>
      </c>
      <c r="C394" t="inlineStr">
        <is>
          <t>POTE POLIPAPEL 1/2 KG GRIDO X 470 Unid.</t>
        </is>
      </c>
      <c r="D394" s="22" t="n">
        <v>6.060609090909091</v>
      </c>
      <c r="E394" t="n">
        <v>8.44</v>
      </c>
      <c r="F394" t="n">
        <v>0</v>
      </c>
      <c r="G394" t="n">
        <v>28407.91</v>
      </c>
      <c r="H394" t="n">
        <v>100</v>
      </c>
      <c r="I394" t="n">
        <v>110</v>
      </c>
      <c r="J394" s="22">
        <f>H394*D394/I394</f>
        <v/>
      </c>
    </row>
    <row r="395">
      <c r="A395" t="n">
        <v>6001032</v>
      </c>
      <c r="B395" t="inlineStr">
        <is>
          <t>2000;2000</t>
        </is>
      </c>
      <c r="C395" t="inlineStr">
        <is>
          <t>VASO POLIPAPEL BATIDO/CAPU/SMOO X 160 UN</t>
        </is>
      </c>
      <c r="D395" s="22" t="n">
        <v>1.082254545454546</v>
      </c>
      <c r="E395" t="n">
        <v>1.66</v>
      </c>
      <c r="F395" t="n">
        <v>0</v>
      </c>
      <c r="G395" t="n">
        <v>5107.27</v>
      </c>
      <c r="H395" t="n">
        <v>100</v>
      </c>
      <c r="I395" t="n">
        <v>110</v>
      </c>
      <c r="J395" s="22">
        <f>H395*D395/I395</f>
        <v/>
      </c>
    </row>
    <row r="396">
      <c r="A396" t="n">
        <v>6001037</v>
      </c>
      <c r="B396" t="inlineStr">
        <is>
          <t>2000;2000</t>
        </is>
      </c>
      <c r="C396" t="inlineStr">
        <is>
          <t>VASO SUNDAE GO OREO X 160 UND.</t>
        </is>
      </c>
      <c r="D396" s="22" t="n">
        <v>1.082254545454546</v>
      </c>
      <c r="E396" t="n">
        <v>1.69</v>
      </c>
      <c r="F396" t="n">
        <v>0</v>
      </c>
      <c r="G396" t="n">
        <v>5482.88</v>
      </c>
      <c r="H396" t="n">
        <v>100</v>
      </c>
      <c r="I396" t="n">
        <v>110</v>
      </c>
      <c r="J396" s="22">
        <f>H396*D396/I396</f>
        <v/>
      </c>
    </row>
    <row r="397">
      <c r="A397" t="n">
        <v>6001621</v>
      </c>
      <c r="B397" t="inlineStr">
        <is>
          <t>2000;2000</t>
        </is>
      </c>
      <c r="C397" t="inlineStr">
        <is>
          <t>OBLEA PARA DECORAR X 2 KG</t>
        </is>
      </c>
      <c r="D397" s="22" t="n">
        <v>1.0101</v>
      </c>
      <c r="E397" t="n">
        <v>2.37</v>
      </c>
      <c r="F397" t="n">
        <v>0</v>
      </c>
      <c r="G397" t="n">
        <v>2482.77</v>
      </c>
      <c r="H397" t="n">
        <v>100</v>
      </c>
      <c r="I397" t="n">
        <v>110</v>
      </c>
      <c r="J397" s="22">
        <f>H397*D397/I397</f>
        <v/>
      </c>
    </row>
    <row r="398">
      <c r="A398" t="n">
        <v>6002070</v>
      </c>
      <c r="B398" t="inlineStr">
        <is>
          <t>2000;2000</t>
        </is>
      </c>
      <c r="C398" t="inlineStr">
        <is>
          <t>CUPS CLÁSICO BOCA ANCHA 45 X 3 UN</t>
        </is>
      </c>
      <c r="D398" s="22" t="n">
        <v>1.893936363636364</v>
      </c>
      <c r="E398" t="n">
        <v>4.08</v>
      </c>
      <c r="F398" t="n">
        <v>0</v>
      </c>
      <c r="G398" t="n">
        <v>6001.59</v>
      </c>
      <c r="H398" t="n">
        <v>100</v>
      </c>
      <c r="I398" t="n">
        <v>110</v>
      </c>
      <c r="J398" s="22">
        <f>H398*D398/I398</f>
        <v/>
      </c>
    </row>
    <row r="399">
      <c r="A399" t="n">
        <v>6002071</v>
      </c>
      <c r="B399" t="inlineStr">
        <is>
          <t>2000;2000</t>
        </is>
      </c>
      <c r="C399" t="inlineStr">
        <is>
          <t>CUPS BLACK BOCA ANCHA 45 X 3 UN</t>
        </is>
      </c>
      <c r="D399" s="22" t="n">
        <v>1.893936363636364</v>
      </c>
      <c r="E399" t="n">
        <v>4.07</v>
      </c>
      <c r="F399" t="n">
        <v>0</v>
      </c>
      <c r="G399" t="n">
        <v>7058.54</v>
      </c>
      <c r="H399" t="n">
        <v>100</v>
      </c>
      <c r="I399" t="n">
        <v>110</v>
      </c>
      <c r="J399" s="22">
        <f>H399*D399/I399</f>
        <v/>
      </c>
    </row>
    <row r="400">
      <c r="A400" t="n">
        <v>6001459</v>
      </c>
      <c r="B400" t="inlineStr">
        <is>
          <t>2000;2000</t>
        </is>
      </c>
      <c r="C400" t="inlineStr">
        <is>
          <t>ARVEJAS EN LATA X  350 grs INALPA</t>
        </is>
      </c>
      <c r="D400" s="22" t="n">
        <v>0.09090909090909091</v>
      </c>
      <c r="E400" t="n">
        <v>0.36</v>
      </c>
      <c r="F400" t="n">
        <v>0</v>
      </c>
      <c r="G400" t="n">
        <v>136.49</v>
      </c>
      <c r="H400" t="n">
        <v>100</v>
      </c>
      <c r="I400" t="n">
        <v>110</v>
      </c>
      <c r="J400" s="22">
        <f>H400*D400/I400</f>
        <v/>
      </c>
    </row>
    <row r="401">
      <c r="A401" t="n">
        <v>6001460</v>
      </c>
      <c r="B401" t="inlineStr">
        <is>
          <t>2000;2000</t>
        </is>
      </c>
      <c r="C401" t="inlineStr">
        <is>
          <t>CHOCLO CREMOSO BLANCO X 350 GRS INALPA</t>
        </is>
      </c>
      <c r="D401" s="22" t="n">
        <v>0.09090909090909091</v>
      </c>
      <c r="E401" t="n">
        <v>0.4</v>
      </c>
      <c r="F401" t="n">
        <v>0</v>
      </c>
      <c r="G401" t="n">
        <v>136.49</v>
      </c>
      <c r="H401" t="n">
        <v>100</v>
      </c>
      <c r="I401" t="n">
        <v>110</v>
      </c>
      <c r="J401" s="22">
        <f>H401*D401/I401</f>
        <v/>
      </c>
    </row>
    <row r="402">
      <c r="A402" t="n">
        <v>6001462</v>
      </c>
      <c r="B402" t="inlineStr">
        <is>
          <t>2000;2000</t>
        </is>
      </c>
      <c r="C402" t="inlineStr">
        <is>
          <t>CHOCLO AMARILLO EN GRANO X 350 GRS INALP</t>
        </is>
      </c>
      <c r="D402" s="22" t="n">
        <v>0.09090909090909091</v>
      </c>
      <c r="E402" t="n">
        <v>0.36</v>
      </c>
      <c r="F402" t="n">
        <v>0</v>
      </c>
      <c r="G402" t="n">
        <v>345.54</v>
      </c>
      <c r="H402" t="n">
        <v>100</v>
      </c>
      <c r="I402" t="n">
        <v>110</v>
      </c>
      <c r="J402" s="22">
        <f>H402*D402/I402</f>
        <v/>
      </c>
    </row>
    <row r="403">
      <c r="A403" t="n">
        <v>7100081</v>
      </c>
      <c r="B403" t="inlineStr">
        <is>
          <t>2000;2000</t>
        </is>
      </c>
      <c r="C403" t="inlineStr">
        <is>
          <t>LAMINA CONGELADOS P/ SOPORTE DE VIDRIERA</t>
        </is>
      </c>
      <c r="D403" s="22" t="n">
        <v>0.09090909090909091</v>
      </c>
      <c r="E403" t="n">
        <v>0.08</v>
      </c>
      <c r="F403" t="n">
        <v>0</v>
      </c>
      <c r="G403" t="n">
        <v>1</v>
      </c>
      <c r="H403" t="n">
        <v>100</v>
      </c>
      <c r="I403" t="n">
        <v>110</v>
      </c>
      <c r="J403" s="22">
        <f>H403*D403/I403</f>
        <v/>
      </c>
    </row>
    <row r="404">
      <c r="A404" t="n">
        <v>6001872</v>
      </c>
      <c r="B404" t="inlineStr">
        <is>
          <t>2000;2000</t>
        </is>
      </c>
      <c r="C404" t="inlineStr">
        <is>
          <t>ALFAJOR TERRABUSI X 48 UN X 50 GRS</t>
        </is>
      </c>
      <c r="D404" s="22" t="n">
        <v>0.4545454545454545</v>
      </c>
      <c r="E404" t="n">
        <v>2.4</v>
      </c>
      <c r="F404" t="n">
        <v>0</v>
      </c>
      <c r="G404" t="n">
        <v>5227.45</v>
      </c>
      <c r="H404" t="n">
        <v>100</v>
      </c>
      <c r="I404" t="n">
        <v>110</v>
      </c>
      <c r="J404" s="22">
        <f>H404*D404/I404</f>
        <v/>
      </c>
    </row>
    <row r="405">
      <c r="A405" t="n">
        <v>6002211</v>
      </c>
      <c r="B405" t="inlineStr">
        <is>
          <t>2000;2000</t>
        </is>
      </c>
      <c r="C405" t="inlineStr">
        <is>
          <t>CENEFA CONGELADOS MULTIMARCA</t>
        </is>
      </c>
      <c r="D405" s="22" t="n">
        <v>0.09090909090909091</v>
      </c>
      <c r="E405" t="n">
        <v>3.85</v>
      </c>
      <c r="F405" t="n">
        <v>0</v>
      </c>
      <c r="G405" t="n">
        <v>16408.68</v>
      </c>
      <c r="H405" t="n">
        <v>100</v>
      </c>
      <c r="I405" t="n">
        <v>110</v>
      </c>
      <c r="J405" s="22">
        <f>H405*D405/I405</f>
        <v/>
      </c>
    </row>
    <row r="406">
      <c r="A406" t="n">
        <v>6001879</v>
      </c>
      <c r="B406" t="inlineStr">
        <is>
          <t>2000;2000</t>
        </is>
      </c>
      <c r="C406" t="inlineStr">
        <is>
          <t>CREMERA ACERO INOX.X 500 CC ORIG CHINA</t>
        </is>
      </c>
      <c r="D406" s="22" t="n">
        <v>0.1818181818181818</v>
      </c>
      <c r="E406" t="n">
        <v>0.9</v>
      </c>
      <c r="F406" t="n">
        <v>0</v>
      </c>
      <c r="G406" t="n">
        <v>22008.39</v>
      </c>
      <c r="H406" t="n">
        <v>100</v>
      </c>
      <c r="I406" t="n">
        <v>110</v>
      </c>
      <c r="J406" s="22">
        <f>H406*D406/I406</f>
        <v/>
      </c>
    </row>
    <row r="407">
      <c r="A407" t="n">
        <v>6001397</v>
      </c>
      <c r="B407" t="inlineStr">
        <is>
          <t>2000;2000</t>
        </is>
      </c>
      <c r="C407" t="inlineStr">
        <is>
          <t>CARTA MENU GRIDO CAFE</t>
        </is>
      </c>
      <c r="D407" s="22" t="n">
        <v>0.09090909090909091</v>
      </c>
      <c r="E407" t="n">
        <v>0.16</v>
      </c>
      <c r="F407" t="n">
        <v>0</v>
      </c>
      <c r="G407" t="n">
        <v>1133.04</v>
      </c>
      <c r="H407" t="n">
        <v>100</v>
      </c>
      <c r="I407" t="n">
        <v>110</v>
      </c>
      <c r="J407" s="22">
        <f>H407*D407/I407</f>
        <v/>
      </c>
    </row>
    <row r="408">
      <c r="A408" t="n">
        <v>6000261</v>
      </c>
      <c r="B408" t="inlineStr">
        <is>
          <t>2000;2000</t>
        </is>
      </c>
      <c r="C408" t="inlineStr">
        <is>
          <t>VOUCHERS / VALE 2 KG 1 CAFE X 100 UN</t>
        </is>
      </c>
      <c r="D408" s="22" t="n">
        <v>0.09090909090909091</v>
      </c>
      <c r="E408" t="n">
        <v>0.18</v>
      </c>
      <c r="F408" t="n">
        <v>0</v>
      </c>
      <c r="G408" t="n">
        <v>730.91</v>
      </c>
      <c r="H408" t="n">
        <v>100</v>
      </c>
      <c r="I408" t="n">
        <v>110</v>
      </c>
      <c r="J408" s="22">
        <f>H408*D408/I408</f>
        <v/>
      </c>
    </row>
    <row r="409">
      <c r="A409" t="n">
        <v>6000269</v>
      </c>
      <c r="B409" t="inlineStr">
        <is>
          <t>2000;2000</t>
        </is>
      </c>
      <c r="C409" t="inlineStr">
        <is>
          <t>INDIVIDUAL GRIDO CAFE X 100 UN</t>
        </is>
      </c>
      <c r="D409" s="22" t="n">
        <v>0.2363636363636364</v>
      </c>
      <c r="E409" t="n">
        <v>1</v>
      </c>
      <c r="F409" t="n">
        <v>0</v>
      </c>
      <c r="G409" t="n">
        <v>1440.41</v>
      </c>
      <c r="H409" t="n">
        <v>100</v>
      </c>
      <c r="I409" t="n">
        <v>110</v>
      </c>
      <c r="J409" s="22">
        <f>H409*D409/I409</f>
        <v/>
      </c>
    </row>
    <row r="410">
      <c r="A410" t="n">
        <v>6000741</v>
      </c>
      <c r="B410" t="inlineStr">
        <is>
          <t>2000;2000</t>
        </is>
      </c>
      <c r="C410" t="inlineStr">
        <is>
          <t>EXHIBIDOR BAKERY GRIDO CAFE</t>
        </is>
      </c>
      <c r="D410" s="22" t="n">
        <v>1.445454545454546</v>
      </c>
      <c r="E410" t="n">
        <v>3.75</v>
      </c>
      <c r="F410" t="n">
        <v>0</v>
      </c>
      <c r="G410" t="n">
        <v>13579.53</v>
      </c>
      <c r="H410" t="n">
        <v>100</v>
      </c>
      <c r="I410" t="n">
        <v>110</v>
      </c>
      <c r="J410" s="22">
        <f>H410*D410/I410</f>
        <v/>
      </c>
    </row>
    <row r="411">
      <c r="A411" t="n">
        <v>6002353</v>
      </c>
      <c r="B411" t="inlineStr">
        <is>
          <t>2000;2000</t>
        </is>
      </c>
      <c r="C411" t="inlineStr">
        <is>
          <t>CAPSULAS CAFÉ FUERTE BIG PACK X 100 UN</t>
        </is>
      </c>
      <c r="D411" s="22" t="n">
        <v>0.4208727272727273</v>
      </c>
      <c r="E411" t="n">
        <v>0.79</v>
      </c>
      <c r="F411" t="n">
        <v>0</v>
      </c>
      <c r="G411" t="n">
        <v>6618.43</v>
      </c>
      <c r="H411" t="n">
        <v>100</v>
      </c>
      <c r="I411" t="n">
        <v>110</v>
      </c>
      <c r="J411" s="22">
        <f>H411*D411/I411</f>
        <v/>
      </c>
    </row>
    <row r="412">
      <c r="A412" t="n">
        <v>6002354</v>
      </c>
      <c r="B412" t="inlineStr">
        <is>
          <t>2000;2000</t>
        </is>
      </c>
      <c r="C412" t="inlineStr">
        <is>
          <t>CAPSULAS CAFÉ SUAVE BIG PACK X 100 UN</t>
        </is>
      </c>
      <c r="D412" s="22" t="n">
        <v>0.4208727272727273</v>
      </c>
      <c r="E412" t="n">
        <v>0.79</v>
      </c>
      <c r="F412" t="n">
        <v>0</v>
      </c>
      <c r="G412" t="n">
        <v>6618.43</v>
      </c>
      <c r="H412" t="n">
        <v>100</v>
      </c>
      <c r="I412" t="n">
        <v>110</v>
      </c>
      <c r="J412" s="22">
        <f>H412*D412/I412</f>
        <v/>
      </c>
    </row>
    <row r="413">
      <c r="A413" t="n">
        <v>6002355</v>
      </c>
      <c r="B413" t="inlineStr">
        <is>
          <t>2000;2000</t>
        </is>
      </c>
      <c r="C413" t="inlineStr">
        <is>
          <t>CAPSULAS CAFÉ INTERMEDIO BIG PACK X 100</t>
        </is>
      </c>
      <c r="D413" s="22" t="n">
        <v>0.4208727272727273</v>
      </c>
      <c r="E413" t="n">
        <v>0.79</v>
      </c>
      <c r="F413" t="n">
        <v>0</v>
      </c>
      <c r="G413" t="n">
        <v>6618.43</v>
      </c>
      <c r="H413" t="n">
        <v>100</v>
      </c>
      <c r="I413" t="n">
        <v>110</v>
      </c>
      <c r="J413" s="22">
        <f>H413*D413/I413</f>
        <v/>
      </c>
    </row>
    <row r="414">
      <c r="A414" t="n">
        <v>6000477</v>
      </c>
      <c r="B414" t="inlineStr">
        <is>
          <t>2000;2000</t>
        </is>
      </c>
      <c r="C414" t="inlineStr">
        <is>
          <t>TAPA PLASTICA BLANCA PARA FAM30</t>
        </is>
      </c>
      <c r="D414" s="22" t="n">
        <v>0.3030272727272727</v>
      </c>
      <c r="E414" t="n">
        <v>0.76</v>
      </c>
      <c r="F414" t="n">
        <v>0</v>
      </c>
      <c r="G414" t="n">
        <v>6243.73</v>
      </c>
      <c r="H414" t="n">
        <v>100</v>
      </c>
      <c r="I414" t="n">
        <v>110</v>
      </c>
      <c r="J414" s="22">
        <f>H414*D414/I414</f>
        <v/>
      </c>
    </row>
    <row r="415">
      <c r="A415" t="n">
        <v>6002073</v>
      </c>
      <c r="B415" t="inlineStr">
        <is>
          <t>2000;2000</t>
        </is>
      </c>
      <c r="C415" t="inlineStr">
        <is>
          <t>CAP. CAFE LAGRIMA DOYPACK X 10 UN</t>
        </is>
      </c>
      <c r="D415" s="22" t="n">
        <v>0.1515181818181818</v>
      </c>
      <c r="E415" t="n">
        <v>0.14</v>
      </c>
      <c r="F415" t="n">
        <v>0</v>
      </c>
      <c r="G415" t="n">
        <v>888.58</v>
      </c>
      <c r="H415" t="n">
        <v>100</v>
      </c>
      <c r="I415" t="n">
        <v>110</v>
      </c>
      <c r="J415" s="22">
        <f>H415*D415/I415</f>
        <v/>
      </c>
    </row>
    <row r="416">
      <c r="A416" t="n">
        <v>6002074</v>
      </c>
      <c r="B416" t="inlineStr">
        <is>
          <t>2000;2000</t>
        </is>
      </c>
      <c r="C416" t="inlineStr">
        <is>
          <t>CAP. CAFE CORTADO DOYPACK X 10 UN</t>
        </is>
      </c>
      <c r="D416" s="22" t="n">
        <v>0.1515181818181818</v>
      </c>
      <c r="E416" t="n">
        <v>0.14</v>
      </c>
      <c r="F416" t="n">
        <v>0</v>
      </c>
      <c r="G416" t="n">
        <v>888.58</v>
      </c>
      <c r="H416" t="n">
        <v>100</v>
      </c>
      <c r="I416" t="n">
        <v>110</v>
      </c>
      <c r="J416" s="22">
        <f>H416*D416/I416</f>
        <v/>
      </c>
    </row>
    <row r="417">
      <c r="A417" t="n">
        <v>6002075</v>
      </c>
      <c r="B417" t="inlineStr">
        <is>
          <t>2000;2000</t>
        </is>
      </c>
      <c r="C417" t="inlineStr">
        <is>
          <t>CAP. LATTE DDL DOYPACK X 10 UN</t>
        </is>
      </c>
      <c r="D417" s="22" t="n">
        <v>0.1515181818181818</v>
      </c>
      <c r="E417" t="n">
        <v>0.19</v>
      </c>
      <c r="F417" t="n">
        <v>0</v>
      </c>
      <c r="G417" t="n">
        <v>888.58</v>
      </c>
      <c r="H417" t="n">
        <v>100</v>
      </c>
      <c r="I417" t="n">
        <v>110</v>
      </c>
      <c r="J417" s="22">
        <f>H417*D417/I417</f>
        <v/>
      </c>
    </row>
    <row r="418">
      <c r="A418" t="n">
        <v>6002076</v>
      </c>
      <c r="B418" t="inlineStr">
        <is>
          <t>2000;2000</t>
        </is>
      </c>
      <c r="C418" t="inlineStr">
        <is>
          <t>CAP. CHOCOLATADA DOYPACK X 10 UN</t>
        </is>
      </c>
      <c r="D418" s="22" t="n">
        <v>0.1515181818181818</v>
      </c>
      <c r="E418" t="n">
        <v>0.22</v>
      </c>
      <c r="F418" t="n">
        <v>0</v>
      </c>
      <c r="G418" t="n">
        <v>888.58</v>
      </c>
      <c r="H418" t="n">
        <v>100</v>
      </c>
      <c r="I418" t="n">
        <v>110</v>
      </c>
      <c r="J418" s="22">
        <f>H418*D418/I418</f>
        <v/>
      </c>
    </row>
    <row r="419">
      <c r="A419" t="n">
        <v>6002077</v>
      </c>
      <c r="B419" t="inlineStr">
        <is>
          <t>2000;2000</t>
        </is>
      </c>
      <c r="C419" t="inlineStr">
        <is>
          <t>CAP. CAFE ESPRESSO DOYPACK X 10 UN</t>
        </is>
      </c>
      <c r="D419" s="22" t="n">
        <v>0.1515181818181818</v>
      </c>
      <c r="E419" t="n">
        <v>0.14</v>
      </c>
      <c r="F419" t="n">
        <v>0</v>
      </c>
      <c r="G419" t="n">
        <v>888.58</v>
      </c>
      <c r="H419" t="n">
        <v>100</v>
      </c>
      <c r="I419" t="n">
        <v>110</v>
      </c>
      <c r="J419" s="22">
        <f>H419*D419/I419</f>
        <v/>
      </c>
    </row>
    <row r="420">
      <c r="A420" t="n">
        <v>6002078</v>
      </c>
      <c r="B420" t="inlineStr">
        <is>
          <t>2000;2000</t>
        </is>
      </c>
      <c r="C420" t="inlineStr">
        <is>
          <t>CAP. CAFE C/LECHE DOYPACK X 10 UN</t>
        </is>
      </c>
      <c r="D420" s="22" t="n">
        <v>0.1515181818181818</v>
      </c>
      <c r="E420" t="n">
        <v>0.18</v>
      </c>
      <c r="F420" t="n">
        <v>0</v>
      </c>
      <c r="G420" t="n">
        <v>888.58</v>
      </c>
      <c r="H420" t="n">
        <v>100</v>
      </c>
      <c r="I420" t="n">
        <v>110</v>
      </c>
      <c r="J420" s="22">
        <f>H420*D420/I420</f>
        <v/>
      </c>
    </row>
    <row r="421">
      <c r="A421" t="n">
        <v>6002079</v>
      </c>
      <c r="B421" t="inlineStr">
        <is>
          <t>2000;2000</t>
        </is>
      </c>
      <c r="C421" t="inlineStr">
        <is>
          <t>CAP LATTE VAINILLA DOYPACK X 10 UN</t>
        </is>
      </c>
      <c r="D421" s="22" t="n">
        <v>0.1515181818181818</v>
      </c>
      <c r="E421" t="n">
        <v>0.18</v>
      </c>
      <c r="F421" t="n">
        <v>0</v>
      </c>
      <c r="G421" t="n">
        <v>888.58</v>
      </c>
      <c r="H421" t="n">
        <v>100</v>
      </c>
      <c r="I421" t="n">
        <v>110</v>
      </c>
      <c r="J421" s="22">
        <f>H421*D421/I421</f>
        <v/>
      </c>
    </row>
    <row r="422">
      <c r="A422" t="n">
        <v>6002080</v>
      </c>
      <c r="B422" t="inlineStr">
        <is>
          <t>2000;2000</t>
        </is>
      </c>
      <c r="C422" t="inlineStr">
        <is>
          <t>CAP. CAPUCCINO DOYPACK X 10 UN</t>
        </is>
      </c>
      <c r="D422" s="22" t="n">
        <v>0.1515181818181818</v>
      </c>
      <c r="E422" t="n">
        <v>0.18</v>
      </c>
      <c r="F422" t="n">
        <v>0</v>
      </c>
      <c r="G422" t="n">
        <v>888.58</v>
      </c>
      <c r="H422" t="n">
        <v>100</v>
      </c>
      <c r="I422" t="n">
        <v>110</v>
      </c>
      <c r="J422" s="22">
        <f>H422*D422/I422</f>
        <v/>
      </c>
    </row>
    <row r="423">
      <c r="A423" t="n">
        <v>6000808</v>
      </c>
      <c r="B423" t="inlineStr">
        <is>
          <t>2000;2000</t>
        </is>
      </c>
      <c r="C423" t="inlineStr">
        <is>
          <t>CAFETERA DOMESTICA MODELO NINA N - CINO</t>
        </is>
      </c>
      <c r="D423" s="22" t="n">
        <v>1.262627272727273</v>
      </c>
      <c r="E423" t="n">
        <v>3</v>
      </c>
      <c r="F423" t="n">
        <v>0</v>
      </c>
      <c r="G423" t="n">
        <v>27902.29</v>
      </c>
      <c r="H423" t="n">
        <v>100</v>
      </c>
      <c r="I423" t="n">
        <v>110</v>
      </c>
      <c r="J423" s="22">
        <f>H423*D423/I423</f>
        <v/>
      </c>
    </row>
    <row r="424">
      <c r="A424" t="n">
        <v>6000764</v>
      </c>
      <c r="B424" t="inlineStr">
        <is>
          <t>2000;2000</t>
        </is>
      </c>
      <c r="C424" t="inlineStr">
        <is>
          <t>CONSERVADORA PARA HELADOS MOD. FAM 18</t>
        </is>
      </c>
      <c r="D424" s="22" t="n">
        <v>90.90909090909091</v>
      </c>
      <c r="E424" t="n">
        <v>35</v>
      </c>
      <c r="F424" t="n">
        <v>0</v>
      </c>
      <c r="G424" t="n">
        <v>194969.03</v>
      </c>
      <c r="H424" t="n">
        <v>100</v>
      </c>
      <c r="I424" t="n">
        <v>110</v>
      </c>
      <c r="J424" s="22">
        <f>H424*D424/I424</f>
        <v/>
      </c>
    </row>
    <row r="425">
      <c r="A425" t="n">
        <v>6001884</v>
      </c>
      <c r="B425" t="inlineStr">
        <is>
          <t>2000;2000</t>
        </is>
      </c>
      <c r="C425" t="inlineStr">
        <is>
          <t>CAFETERA CINO CN-K DOLCE GUSTO X UNID</t>
        </is>
      </c>
      <c r="D425" s="22" t="n">
        <v>1.515154545454545</v>
      </c>
      <c r="E425" t="n">
        <v>4.62</v>
      </c>
      <c r="F425" t="n">
        <v>0</v>
      </c>
      <c r="G425" t="n">
        <v>60220.8</v>
      </c>
      <c r="H425" t="n">
        <v>100</v>
      </c>
      <c r="I425" t="n">
        <v>110</v>
      </c>
      <c r="J425" s="22">
        <f>H425*D425/I425</f>
        <v/>
      </c>
    </row>
    <row r="426">
      <c r="A426" t="n">
        <v>6000526</v>
      </c>
      <c r="B426" t="inlineStr">
        <is>
          <t>2000;2000</t>
        </is>
      </c>
      <c r="C426" t="inlineStr">
        <is>
          <t>SORBETE XL x 1000 Unid.</t>
        </is>
      </c>
      <c r="D426" s="22" t="n">
        <v>0.2754818181818182</v>
      </c>
      <c r="E426" t="n">
        <v>0.4</v>
      </c>
      <c r="F426" t="n">
        <v>0</v>
      </c>
      <c r="G426" t="n">
        <v>4312.14</v>
      </c>
      <c r="H426" t="n">
        <v>100</v>
      </c>
      <c r="I426" t="n">
        <v>110</v>
      </c>
      <c r="J426" s="22">
        <f>H426*D426/I426</f>
        <v/>
      </c>
    </row>
    <row r="427">
      <c r="A427" t="n">
        <v>6000160</v>
      </c>
      <c r="B427" t="inlineStr">
        <is>
          <t>2000;2000</t>
        </is>
      </c>
      <c r="C427" t="inlineStr">
        <is>
          <t>CONSERVADORA MOD. FIH 355 STORE</t>
        </is>
      </c>
      <c r="D427" s="22" t="n">
        <v>90.90909090909091</v>
      </c>
      <c r="E427" t="n">
        <v>30</v>
      </c>
      <c r="F427" t="n">
        <v>0</v>
      </c>
      <c r="G427" t="n">
        <v>234605.53</v>
      </c>
      <c r="H427" t="n">
        <v>100</v>
      </c>
      <c r="I427" t="n">
        <v>110</v>
      </c>
      <c r="J427" s="22">
        <f>H427*D427/I427</f>
        <v/>
      </c>
    </row>
    <row r="428">
      <c r="A428" t="n">
        <v>6000165</v>
      </c>
      <c r="B428" t="inlineStr">
        <is>
          <t>2000;2000</t>
        </is>
      </c>
      <c r="C428" t="inlineStr">
        <is>
          <t>CONSERVADORA MOD. FIH555  STORE</t>
        </is>
      </c>
      <c r="D428" s="22" t="n">
        <v>45.45454545454545</v>
      </c>
      <c r="E428" t="n">
        <v>40</v>
      </c>
      <c r="F428" t="n">
        <v>0</v>
      </c>
      <c r="G428" t="n">
        <v>246545.11</v>
      </c>
      <c r="H428" t="n">
        <v>100</v>
      </c>
      <c r="I428" t="n">
        <v>110</v>
      </c>
      <c r="J428" s="22">
        <f>H428*D428/I428</f>
        <v/>
      </c>
    </row>
    <row r="429">
      <c r="A429" t="n">
        <v>6000965</v>
      </c>
      <c r="B429" t="inlineStr">
        <is>
          <t>2000;2000</t>
        </is>
      </c>
      <c r="C429" t="inlineStr">
        <is>
          <t>SILLA ONE COLOR BLANCO X UN</t>
        </is>
      </c>
      <c r="D429" s="22" t="n">
        <v>3.787881818181818</v>
      </c>
      <c r="E429" t="n">
        <v>5.29</v>
      </c>
      <c r="F429" t="n">
        <v>0</v>
      </c>
      <c r="G429" t="n">
        <v>23708.63</v>
      </c>
      <c r="H429" t="n">
        <v>100</v>
      </c>
      <c r="I429" t="n">
        <v>110</v>
      </c>
      <c r="J429" s="22">
        <f>H429*D429/I429</f>
        <v/>
      </c>
    </row>
    <row r="430">
      <c r="A430" t="n">
        <v>6000966</v>
      </c>
      <c r="B430" t="inlineStr">
        <is>
          <t>2000;2000</t>
        </is>
      </c>
      <c r="C430" t="inlineStr">
        <is>
          <t>SILLA ONE COLOR AZUL X UN</t>
        </is>
      </c>
      <c r="D430" s="22" t="n">
        <v>3.787881818181818</v>
      </c>
      <c r="E430" t="n">
        <v>5.29</v>
      </c>
      <c r="F430" t="n">
        <v>0</v>
      </c>
      <c r="G430" t="n">
        <v>23708.63</v>
      </c>
      <c r="H430" t="n">
        <v>100</v>
      </c>
      <c r="I430" t="n">
        <v>110</v>
      </c>
      <c r="J430" s="22">
        <f>H430*D430/I430</f>
        <v/>
      </c>
    </row>
    <row r="431">
      <c r="A431" t="n">
        <v>6000968</v>
      </c>
      <c r="B431" t="inlineStr">
        <is>
          <t>2000;2000</t>
        </is>
      </c>
      <c r="C431" t="inlineStr">
        <is>
          <t>SILLA ONE COLOR ROJO X UN</t>
        </is>
      </c>
      <c r="D431" s="22" t="n">
        <v>3.787881818181818</v>
      </c>
      <c r="E431" t="n">
        <v>5.29</v>
      </c>
      <c r="F431" t="n">
        <v>0</v>
      </c>
      <c r="G431" t="n">
        <v>23708.63</v>
      </c>
      <c r="H431" t="n">
        <v>100</v>
      </c>
      <c r="I431" t="n">
        <v>110</v>
      </c>
      <c r="J431" s="22">
        <f>H431*D431/I431</f>
        <v/>
      </c>
    </row>
    <row r="432">
      <c r="A432" t="n">
        <v>6002395</v>
      </c>
      <c r="B432" t="inlineStr">
        <is>
          <t>2000;2000</t>
        </is>
      </c>
      <c r="C432" t="inlineStr">
        <is>
          <t>SORBETE 100% PAPEL XXL X 100 UN</t>
        </is>
      </c>
      <c r="D432" s="22" t="n">
        <v>0.08264545454545455</v>
      </c>
      <c r="E432" t="n">
        <v>0.16</v>
      </c>
      <c r="F432" t="n">
        <v>0</v>
      </c>
      <c r="G432" t="n">
        <v>2316.09</v>
      </c>
      <c r="H432" t="n">
        <v>100</v>
      </c>
      <c r="I432" t="n">
        <v>110</v>
      </c>
      <c r="J432" s="22">
        <f>H432*D432/I432</f>
        <v/>
      </c>
    </row>
    <row r="433">
      <c r="A433" t="n">
        <v>6002362</v>
      </c>
      <c r="B433" t="inlineStr">
        <is>
          <t>2000;2000</t>
        </is>
      </c>
      <c r="C433" t="inlineStr">
        <is>
          <t>TÉ BOLDO X 25 UN LA VIRGINIA</t>
        </is>
      </c>
      <c r="D433" s="22" t="n">
        <v>0.09090909090909091</v>
      </c>
      <c r="E433" t="n">
        <v>0.08</v>
      </c>
      <c r="F433" t="n">
        <v>0</v>
      </c>
      <c r="G433" t="n">
        <v>249.76</v>
      </c>
      <c r="H433" t="n">
        <v>100</v>
      </c>
      <c r="I433" t="n">
        <v>110</v>
      </c>
      <c r="J433" s="22">
        <f>H433*D433/I433</f>
        <v/>
      </c>
    </row>
    <row r="434">
      <c r="A434" t="n">
        <v>6002363</v>
      </c>
      <c r="B434" t="inlineStr">
        <is>
          <t>2000;2000</t>
        </is>
      </c>
      <c r="C434" t="inlineStr">
        <is>
          <t>TÉ MANZANILLA X 25 UN LA VIRGINIA</t>
        </is>
      </c>
      <c r="D434" s="22" t="n">
        <v>0.09090909090909091</v>
      </c>
      <c r="E434" t="n">
        <v>0.06</v>
      </c>
      <c r="F434" t="n">
        <v>0</v>
      </c>
      <c r="G434" t="n">
        <v>234.92</v>
      </c>
      <c r="H434" t="n">
        <v>100</v>
      </c>
      <c r="I434" t="n">
        <v>110</v>
      </c>
      <c r="J434" s="22">
        <f>H434*D434/I434</f>
        <v/>
      </c>
    </row>
    <row r="435">
      <c r="A435" t="n">
        <v>6002365</v>
      </c>
      <c r="B435" t="inlineStr">
        <is>
          <t>2000;2000</t>
        </is>
      </c>
      <c r="C435" t="inlineStr">
        <is>
          <t>TÉ MEZCLA HIERBAS X 25 UN LA VIRGINIA</t>
        </is>
      </c>
      <c r="D435" s="22" t="n">
        <v>0.09090909090909091</v>
      </c>
      <c r="E435" t="n">
        <v>0.07000000000000001</v>
      </c>
      <c r="F435" t="n">
        <v>0</v>
      </c>
      <c r="G435" t="n">
        <v>268.34</v>
      </c>
      <c r="H435" t="n">
        <v>100</v>
      </c>
      <c r="I435" t="n">
        <v>110</v>
      </c>
      <c r="J435" s="22">
        <f>H435*D435/I435</f>
        <v/>
      </c>
    </row>
    <row r="436">
      <c r="A436" t="n">
        <v>6002368</v>
      </c>
      <c r="B436" t="inlineStr">
        <is>
          <t>2000;2000</t>
        </is>
      </c>
      <c r="C436" t="inlineStr">
        <is>
          <t>TÉ C/CANELA X 25 UN LA VIRGINIA</t>
        </is>
      </c>
      <c r="D436" s="22" t="n">
        <v>0.09090909090909091</v>
      </c>
      <c r="E436" t="n">
        <v>0.08</v>
      </c>
      <c r="F436" t="n">
        <v>0</v>
      </c>
      <c r="G436" t="n">
        <v>215.42</v>
      </c>
      <c r="H436" t="n">
        <v>100</v>
      </c>
      <c r="I436" t="n">
        <v>110</v>
      </c>
      <c r="J436" s="22">
        <f>H436*D436/I436</f>
        <v/>
      </c>
    </row>
    <row r="437">
      <c r="A437" t="n">
        <v>6002370</v>
      </c>
      <c r="B437" t="inlineStr">
        <is>
          <t>2000;2000</t>
        </is>
      </c>
      <c r="C437" t="inlineStr">
        <is>
          <t>TÉ C/DURAZNO X 25 UN LA VIRGINIA</t>
        </is>
      </c>
      <c r="D437" s="22" t="n">
        <v>0.09090909090909091</v>
      </c>
      <c r="E437" t="n">
        <v>0.08</v>
      </c>
      <c r="F437" t="n">
        <v>0</v>
      </c>
      <c r="G437" t="n">
        <v>195.92</v>
      </c>
      <c r="H437" t="n">
        <v>100</v>
      </c>
      <c r="I437" t="n">
        <v>110</v>
      </c>
      <c r="J437" s="22">
        <f>H437*D437/I437</f>
        <v/>
      </c>
    </row>
    <row r="438">
      <c r="A438" t="n">
        <v>6000817</v>
      </c>
      <c r="B438" t="inlineStr">
        <is>
          <t>2000;2000</t>
        </is>
      </c>
      <c r="C438" t="inlineStr">
        <is>
          <t>GARBANZO SECOS REM. VIDA X 350 GR INALPA</t>
        </is>
      </c>
      <c r="D438" s="22" t="n">
        <v>0.06363636363636364</v>
      </c>
      <c r="E438" t="n">
        <v>0.36</v>
      </c>
      <c r="F438" t="n">
        <v>0</v>
      </c>
      <c r="G438" t="n">
        <v>88.20999999999999</v>
      </c>
      <c r="H438" t="n">
        <v>100</v>
      </c>
      <c r="I438" t="n">
        <v>110</v>
      </c>
      <c r="J438" s="22">
        <f>H438*D438/I438</f>
        <v/>
      </c>
    </row>
    <row r="439">
      <c r="A439" t="n">
        <v>6000597</v>
      </c>
      <c r="B439" t="inlineStr">
        <is>
          <t>2000;2000</t>
        </is>
      </c>
      <c r="C439" t="inlineStr">
        <is>
          <t>BOLSA FRISELINA DIA DE LA MADRE X 200 UN</t>
        </is>
      </c>
      <c r="D439" s="22" t="n">
        <v>3.787881818181818</v>
      </c>
      <c r="E439" t="n">
        <v>8.210000000000001</v>
      </c>
      <c r="F439" t="n">
        <v>0</v>
      </c>
      <c r="G439" t="n">
        <v>15974.18</v>
      </c>
      <c r="H439" t="n">
        <v>100</v>
      </c>
      <c r="I439" t="n">
        <v>110</v>
      </c>
      <c r="J439" s="22">
        <f>H439*D439/I439</f>
        <v/>
      </c>
    </row>
    <row r="440">
      <c r="A440" t="n">
        <v>6000699</v>
      </c>
      <c r="B440" t="inlineStr">
        <is>
          <t>2000;2000</t>
        </is>
      </c>
      <c r="C440" t="inlineStr">
        <is>
          <t>VASO POLIPAPEL D.P.G.CAFE 12OZ X 500 Un.</t>
        </is>
      </c>
      <c r="D440" s="22" t="n">
        <v>5.050509090909091</v>
      </c>
      <c r="E440" t="n">
        <v>8.800000000000001</v>
      </c>
      <c r="F440" t="n">
        <v>0</v>
      </c>
      <c r="G440" t="n">
        <v>26042.62</v>
      </c>
      <c r="H440" t="n">
        <v>100</v>
      </c>
      <c r="I440" t="n">
        <v>110</v>
      </c>
      <c r="J440" s="22">
        <f>H440*D440/I440</f>
        <v/>
      </c>
    </row>
    <row r="441">
      <c r="A441" t="n">
        <v>6000697</v>
      </c>
      <c r="B441" t="inlineStr">
        <is>
          <t>2000;2000</t>
        </is>
      </c>
      <c r="C441" t="inlineStr">
        <is>
          <t>VASO POLIPAPEL G.CAFE 6 OZ X 2100 Un.</t>
        </is>
      </c>
      <c r="D441" s="22" t="n">
        <v>3.787881818181818</v>
      </c>
      <c r="E441" t="n">
        <v>12.08</v>
      </c>
      <c r="F441" t="n">
        <v>0</v>
      </c>
      <c r="G441" t="n">
        <v>32980.76</v>
      </c>
      <c r="H441" t="n">
        <v>100</v>
      </c>
      <c r="I441" t="n">
        <v>110</v>
      </c>
      <c r="J441" s="22">
        <f>H441*D441/I441</f>
        <v/>
      </c>
    </row>
    <row r="442">
      <c r="A442" t="n">
        <v>6002393</v>
      </c>
      <c r="B442" t="inlineStr">
        <is>
          <t>2000;2000</t>
        </is>
      </c>
      <c r="C442" t="inlineStr">
        <is>
          <t>VASO AUTOLIQUIDABLE AFA QATAR 23 X 50 UN</t>
        </is>
      </c>
      <c r="D442" s="22" t="n">
        <v>1.262627272727273</v>
      </c>
      <c r="E442" t="n">
        <v>2.85</v>
      </c>
      <c r="F442" t="n">
        <v>0</v>
      </c>
      <c r="G442" t="n">
        <v>6026.44</v>
      </c>
      <c r="H442" t="n">
        <v>100</v>
      </c>
      <c r="I442" t="n">
        <v>110</v>
      </c>
      <c r="J442" s="22">
        <f>H442*D442/I442</f>
        <v/>
      </c>
    </row>
    <row r="443">
      <c r="A443" t="n">
        <v>6000164</v>
      </c>
      <c r="B443" t="inlineStr">
        <is>
          <t>2000;2000</t>
        </is>
      </c>
      <c r="C443" t="inlineStr">
        <is>
          <t>CONSERVADORA PARA HELADOS MOD. FAM46 TA</t>
        </is>
      </c>
      <c r="D443" s="22" t="n">
        <v>45.45454545454545</v>
      </c>
      <c r="E443" t="n">
        <v>0</v>
      </c>
      <c r="F443" t="n">
        <v>0</v>
      </c>
      <c r="G443" t="n">
        <v>427146.34</v>
      </c>
      <c r="H443" t="n">
        <v>100</v>
      </c>
      <c r="I443" t="n">
        <v>110</v>
      </c>
      <c r="J443" s="22">
        <f>H443*D443/I443</f>
        <v/>
      </c>
    </row>
    <row r="444">
      <c r="A444" t="n">
        <v>6002382</v>
      </c>
      <c r="B444" t="inlineStr">
        <is>
          <t>2000;2000</t>
        </is>
      </c>
      <c r="C444" t="inlineStr">
        <is>
          <t>BANDERA AUTO SABEMOS DE AGUANTE x 50 Un</t>
        </is>
      </c>
      <c r="D444" s="22" t="n">
        <v>0.1818181818181818</v>
      </c>
      <c r="E444" t="n">
        <v>1.07</v>
      </c>
      <c r="F444" t="n">
        <v>0</v>
      </c>
      <c r="G444" t="n">
        <v>18600.54</v>
      </c>
      <c r="H444" t="n">
        <v>100</v>
      </c>
      <c r="I444" t="n">
        <v>110</v>
      </c>
      <c r="J444" s="22">
        <f>H444*D444/I444</f>
        <v/>
      </c>
    </row>
    <row r="445">
      <c r="A445" t="n">
        <v>6000516</v>
      </c>
      <c r="B445" t="inlineStr">
        <is>
          <t>2000;2000</t>
        </is>
      </c>
      <c r="C445" t="inlineStr">
        <is>
          <t>VASO LISO BATIDO X 800 unid.</t>
        </is>
      </c>
      <c r="D445" s="22" t="n">
        <v>3.636363636363636</v>
      </c>
      <c r="E445" t="n">
        <v>7.91</v>
      </c>
      <c r="F445" t="n">
        <v>0</v>
      </c>
      <c r="G445" t="n">
        <v>16257.4</v>
      </c>
      <c r="H445" t="n">
        <v>100</v>
      </c>
      <c r="I445" t="n">
        <v>110</v>
      </c>
      <c r="J445" s="22">
        <f>H445*D445/I445</f>
        <v/>
      </c>
    </row>
    <row r="446">
      <c r="A446" t="n">
        <v>6002412</v>
      </c>
      <c r="B446" t="inlineStr">
        <is>
          <t>2000;2000</t>
        </is>
      </c>
      <c r="C446" t="inlineStr">
        <is>
          <t>CUCHARA RASTI + KIT X 60 UN</t>
        </is>
      </c>
      <c r="D446" s="22" t="n">
        <v>0.4478272727272727</v>
      </c>
      <c r="E446" t="n">
        <v>0.82</v>
      </c>
      <c r="F446" t="n">
        <v>0</v>
      </c>
      <c r="G446" t="n">
        <v>11226.64</v>
      </c>
      <c r="H446" t="n">
        <v>100</v>
      </c>
      <c r="I446" t="n">
        <v>110</v>
      </c>
      <c r="J446" s="22">
        <f>H446*D446/I446</f>
        <v/>
      </c>
    </row>
    <row r="447">
      <c r="A447" t="n">
        <v>6002619</v>
      </c>
      <c r="B447" t="inlineStr">
        <is>
          <t>2000;2000</t>
        </is>
      </c>
      <c r="C447" t="inlineStr">
        <is>
          <t xml:space="preserve"> LAMINA DE GRIDO CAFE 1500 x 2000 mm.</t>
        </is>
      </c>
      <c r="D447" s="22" t="n">
        <v>0.09090909090909091</v>
      </c>
      <c r="E447" t="n">
        <v>0.46</v>
      </c>
      <c r="F447" t="n">
        <v>0</v>
      </c>
      <c r="G447" t="n">
        <v>5076.17</v>
      </c>
      <c r="H447" t="n">
        <v>100</v>
      </c>
      <c r="I447" t="n">
        <v>110</v>
      </c>
      <c r="J447" s="22">
        <f>H447*D447/I447</f>
        <v/>
      </c>
    </row>
    <row r="448">
      <c r="A448" t="n">
        <v>7100088</v>
      </c>
      <c r="B448" t="inlineStr">
        <is>
          <t>2000;2000</t>
        </is>
      </c>
      <c r="C448" t="inlineStr">
        <is>
          <t>KIT MATERIAL PROMOC. SABOR DEL CLIENTE</t>
        </is>
      </c>
      <c r="D448" s="22" t="n">
        <v>0.0009090909090909091</v>
      </c>
      <c r="E448" t="n">
        <v>0.2</v>
      </c>
      <c r="F448" t="n">
        <v>0</v>
      </c>
      <c r="G448" t="n">
        <v>99.17</v>
      </c>
      <c r="H448" t="n">
        <v>100</v>
      </c>
      <c r="I448" t="n">
        <v>110</v>
      </c>
      <c r="J448" s="22">
        <f>H448*D448/I448</f>
        <v/>
      </c>
    </row>
    <row r="449">
      <c r="A449" t="n">
        <v>6002640</v>
      </c>
      <c r="B449" t="inlineStr">
        <is>
          <t>2000;2000</t>
        </is>
      </c>
      <c r="C449" t="inlineStr">
        <is>
          <t>VELAS C/ GLITTER X 100 UN</t>
        </is>
      </c>
      <c r="D449" s="22" t="n">
        <v>1.818181818181818</v>
      </c>
      <c r="E449" t="n">
        <v>1.76</v>
      </c>
      <c r="F449" t="n">
        <v>0</v>
      </c>
      <c r="G449" t="n">
        <v>13379.64</v>
      </c>
      <c r="H449" t="n">
        <v>100</v>
      </c>
      <c r="I449" t="n">
        <v>110</v>
      </c>
      <c r="J449" s="22">
        <f>H449*D449/I449</f>
        <v/>
      </c>
    </row>
    <row r="450">
      <c r="A450" t="n">
        <v>6002641</v>
      </c>
      <c r="B450" t="inlineStr">
        <is>
          <t>2000;2000</t>
        </is>
      </c>
      <c r="C450" t="inlineStr">
        <is>
          <t>KIT GRIDO MARKET</t>
        </is>
      </c>
      <c r="D450" s="22" t="n">
        <v>90.90909090909091</v>
      </c>
      <c r="E450" t="n">
        <v>20</v>
      </c>
      <c r="F450" t="n">
        <v>0</v>
      </c>
      <c r="G450" t="n">
        <v>172110.19</v>
      </c>
      <c r="H450" t="n">
        <v>100</v>
      </c>
      <c r="I450" t="n">
        <v>110</v>
      </c>
      <c r="J450" s="22">
        <f>H450*D450/I450</f>
        <v/>
      </c>
    </row>
    <row r="451">
      <c r="A451" t="n">
        <v>6000156</v>
      </c>
      <c r="B451" t="inlineStr">
        <is>
          <t>2000;2000</t>
        </is>
      </c>
      <c r="C451" t="inlineStr">
        <is>
          <t>CONSERVADORA MOD. FAM I 355 FRIZZIO</t>
        </is>
      </c>
      <c r="D451" s="22" t="n">
        <v>90.90909090909091</v>
      </c>
      <c r="E451" t="n">
        <v>35</v>
      </c>
      <c r="F451" t="n">
        <v>0</v>
      </c>
      <c r="G451" t="n">
        <v>200684.03</v>
      </c>
      <c r="H451" t="n">
        <v>100</v>
      </c>
      <c r="I451" t="n">
        <v>110</v>
      </c>
      <c r="J451" s="22">
        <f>H451*D451/I451</f>
        <v/>
      </c>
    </row>
    <row r="452">
      <c r="A452" t="n">
        <v>6000158</v>
      </c>
      <c r="B452" t="inlineStr">
        <is>
          <t>2000;2000</t>
        </is>
      </c>
      <c r="C452" t="inlineStr">
        <is>
          <t>CONSERVADORA MOD. FAM I 555 PLOT FRIZZIO</t>
        </is>
      </c>
      <c r="D452" s="22" t="n">
        <v>0</v>
      </c>
      <c r="F452" t="n">
        <v>0</v>
      </c>
      <c r="G452" t="n">
        <v>246545.11</v>
      </c>
      <c r="H452" t="n">
        <v>100</v>
      </c>
      <c r="I452" t="n">
        <v>110</v>
      </c>
      <c r="J452" s="22">
        <f>H452*D452/I452</f>
        <v/>
      </c>
    </row>
    <row r="453">
      <c r="A453" t="n">
        <v>7100104</v>
      </c>
      <c r="B453" t="inlineStr">
        <is>
          <t>2000;2000</t>
        </is>
      </c>
      <c r="C453" t="inlineStr">
        <is>
          <t>KIT PROMOCIONAL KILO DE SONRISAS 2023</t>
        </is>
      </c>
      <c r="D453" s="22" t="n">
        <v>0.0009090909090909091</v>
      </c>
      <c r="E453" t="n">
        <v>0.5</v>
      </c>
      <c r="F453" t="n">
        <v>0</v>
      </c>
      <c r="G453" t="n">
        <v>1</v>
      </c>
      <c r="H453" t="n">
        <v>100</v>
      </c>
      <c r="I453" t="n">
        <v>110</v>
      </c>
      <c r="J453" s="22">
        <f>H453*D453/I453</f>
        <v/>
      </c>
    </row>
    <row r="454">
      <c r="A454" t="n">
        <v>6002958</v>
      </c>
      <c r="B454" t="inlineStr">
        <is>
          <t>2000;2000</t>
        </is>
      </c>
      <c r="C454" t="inlineStr">
        <is>
          <t>KIT PROMOCIONAL RASTI 2° EDICIÓN (MONST)</t>
        </is>
      </c>
      <c r="D454" s="22" t="n">
        <v>3.027272727272727</v>
      </c>
      <c r="E454" t="n">
        <v>1.5</v>
      </c>
      <c r="F454" t="n">
        <v>0</v>
      </c>
      <c r="G454" t="n">
        <v>2819.84</v>
      </c>
      <c r="H454" t="n">
        <v>100</v>
      </c>
      <c r="I454" t="n">
        <v>110</v>
      </c>
      <c r="J454" s="22">
        <f>H454*D454/I454</f>
        <v/>
      </c>
    </row>
    <row r="455">
      <c r="A455" t="n">
        <v>6002918</v>
      </c>
      <c r="B455" t="inlineStr">
        <is>
          <t>2000;2000</t>
        </is>
      </c>
      <c r="C455" t="inlineStr">
        <is>
          <t>CUCHARA RASTI 2° EDICIÓN + KIT X 60 UN</t>
        </is>
      </c>
      <c r="D455" s="22" t="n">
        <v>3.027272727272727</v>
      </c>
      <c r="E455" t="n">
        <v>1.5</v>
      </c>
      <c r="F455" t="n">
        <v>0</v>
      </c>
      <c r="G455" t="n">
        <v>14086.21</v>
      </c>
      <c r="H455" t="n">
        <v>100</v>
      </c>
      <c r="I455" t="n">
        <v>110</v>
      </c>
      <c r="J455" s="22">
        <f>H455*D455/I455</f>
        <v/>
      </c>
    </row>
    <row r="456">
      <c r="A456" t="n">
        <v>6002629</v>
      </c>
      <c r="B456" t="inlineStr">
        <is>
          <t>2000;2000</t>
        </is>
      </c>
      <c r="C456" t="inlineStr">
        <is>
          <t>SORBETE FLEXIBLE 100 % PAPEL X 100UN</t>
        </is>
      </c>
      <c r="D456" s="22" t="n">
        <v>3.787272727272728</v>
      </c>
      <c r="E456" t="n">
        <v>1</v>
      </c>
      <c r="F456" t="n">
        <v>0</v>
      </c>
      <c r="G456" t="n">
        <v>2316.09</v>
      </c>
      <c r="H456" t="n">
        <v>100</v>
      </c>
      <c r="I456" t="n">
        <v>110</v>
      </c>
      <c r="J456" s="22">
        <f>H456*D456/I456</f>
        <v/>
      </c>
    </row>
    <row r="457">
      <c r="A457" t="n">
        <v>6002943</v>
      </c>
      <c r="B457" t="inlineStr">
        <is>
          <t>2000;2000</t>
        </is>
      </c>
      <c r="C457" t="inlineStr">
        <is>
          <t>SILLA RIO BLANCA X UN</t>
        </is>
      </c>
      <c r="D457" s="22" t="n">
        <v>3.781818181818182</v>
      </c>
      <c r="E457" t="n">
        <v>1</v>
      </c>
      <c r="F457" t="n">
        <v>0</v>
      </c>
      <c r="G457" t="n">
        <v>15020.79</v>
      </c>
      <c r="H457" t="n">
        <v>100</v>
      </c>
      <c r="I457" t="n">
        <v>110</v>
      </c>
      <c r="J457" s="22">
        <f>H457*D457/I457</f>
        <v/>
      </c>
    </row>
    <row r="458">
      <c r="A458" t="n">
        <v>6002929</v>
      </c>
      <c r="B458" t="inlineStr">
        <is>
          <t>2000;2000</t>
        </is>
      </c>
      <c r="C458" t="inlineStr">
        <is>
          <t>KIT INGRESO COLABOADORES DE FRANQUICIAS</t>
        </is>
      </c>
      <c r="D458" s="22" t="n">
        <v>0.01818181818181818</v>
      </c>
      <c r="E458" t="n">
        <v>0.02</v>
      </c>
      <c r="F458" t="n">
        <v>0</v>
      </c>
      <c r="G458" t="n">
        <v>4206.6</v>
      </c>
      <c r="H458" t="n">
        <v>100</v>
      </c>
      <c r="I458" t="n">
        <v>110</v>
      </c>
      <c r="J458" s="22">
        <f>H458*D458/I458</f>
        <v/>
      </c>
    </row>
    <row r="459">
      <c r="A459" t="n">
        <v>6002946</v>
      </c>
      <c r="B459" t="inlineStr">
        <is>
          <t>2000;2000</t>
        </is>
      </c>
      <c r="C459" t="inlineStr">
        <is>
          <t>MATERIAL PROMOCIONAL COMERCIAL SIN COSTO</t>
        </is>
      </c>
      <c r="D459" s="22" t="n">
        <v>0.01818181818181818</v>
      </c>
      <c r="E459" t="n">
        <v>0.2</v>
      </c>
      <c r="F459" t="n">
        <v>0</v>
      </c>
      <c r="G459" t="n">
        <v>0.01</v>
      </c>
      <c r="H459" t="n">
        <v>100</v>
      </c>
      <c r="I459" t="n">
        <v>110</v>
      </c>
      <c r="J459" s="22">
        <f>H459*D459/I459</f>
        <v/>
      </c>
    </row>
    <row r="460">
      <c r="A460" t="n">
        <v>6002960</v>
      </c>
      <c r="B460" t="inlineStr">
        <is>
          <t>2000;2000</t>
        </is>
      </c>
      <c r="C460" t="inlineStr">
        <is>
          <t>PACK CELEBRACION</t>
        </is>
      </c>
      <c r="D460" s="22" t="n">
        <v>3.027272727272727</v>
      </c>
      <c r="E460" t="n">
        <v>1.2</v>
      </c>
      <c r="F460" t="n">
        <v>0</v>
      </c>
      <c r="G460" t="n">
        <v>12912.21</v>
      </c>
      <c r="H460" t="n">
        <v>100</v>
      </c>
      <c r="I460" t="n">
        <v>110</v>
      </c>
      <c r="J460" s="22">
        <f>H460*D460/I460</f>
        <v/>
      </c>
    </row>
    <row r="461">
      <c r="A461" t="n">
        <v>4000154</v>
      </c>
      <c r="D461" t="n">
        <v>0.51</v>
      </c>
      <c r="H461" t="n">
        <v>100</v>
      </c>
      <c r="I461" t="n">
        <v>110</v>
      </c>
    </row>
    <row r="462">
      <c r="A462" t="n">
        <v>4000339</v>
      </c>
      <c r="D462" t="n">
        <v>0.556</v>
      </c>
      <c r="H462" t="n">
        <v>100</v>
      </c>
      <c r="I462" t="n">
        <v>110</v>
      </c>
    </row>
    <row r="463">
      <c r="A463" t="n">
        <v>4000827</v>
      </c>
      <c r="C463" t="inlineStr">
        <is>
          <t>CHOCO BLANCO OREO 7,800 KG GRIDO</t>
        </is>
      </c>
      <c r="D463" s="22" t="n">
        <v>0.8</v>
      </c>
      <c r="E463" t="n">
        <v>7.8</v>
      </c>
    </row>
    <row r="464">
      <c r="A464" t="n">
        <v>4000817</v>
      </c>
      <c r="C464" t="inlineStr">
        <is>
          <t>MIX PAT/BSAS 23-24</t>
        </is>
      </c>
      <c r="D464" s="22" t="n">
        <v>100</v>
      </c>
      <c r="E464" t="n">
        <v>615</v>
      </c>
    </row>
    <row r="465">
      <c r="A465" s="27" t="n">
        <v>6002855</v>
      </c>
      <c r="C465" s="27" t="inlineStr">
        <is>
          <t>PACK 4 CAJAS POSTRE VEGANO CHOCOLATE -GR</t>
        </is>
      </c>
      <c r="E465" t="n">
        <v>1.92</v>
      </c>
    </row>
    <row r="466">
      <c r="A466" s="27" t="n">
        <v>6002856</v>
      </c>
      <c r="C466" s="27" t="inlineStr">
        <is>
          <t>PACK 4 CAJAS POSTRE VEGANO VANILLA - GR</t>
        </is>
      </c>
      <c r="E466" t="n">
        <v>1.92</v>
      </c>
    </row>
    <row r="467">
      <c r="A467" s="27" t="n">
        <v>6002857</v>
      </c>
      <c r="C467" s="27" t="inlineStr">
        <is>
          <t>PACK 4 CAJAS POSTRE VEGANO MANI - GR</t>
        </is>
      </c>
      <c r="E467" t="n">
        <v>1.92</v>
      </c>
    </row>
    <row r="468">
      <c r="A468" s="28" t="n">
        <v>6002819</v>
      </c>
      <c r="C468" s="28" t="inlineStr">
        <is>
          <t>PACK X 6 POSTRE CREMOSO- CREM. DE FRUTAS</t>
        </is>
      </c>
      <c r="E468" t="n">
        <v>4.5</v>
      </c>
    </row>
    <row r="469">
      <c r="A469" t="n">
        <v>4000835</v>
      </c>
      <c r="C469" t="inlineStr">
        <is>
          <t>PACK X 6 TORTA COOKIES AND CREAM GR</t>
        </is>
      </c>
      <c r="D469" t="n">
        <v>1.2</v>
      </c>
      <c r="E469" t="n">
        <v>6.27</v>
      </c>
    </row>
    <row r="471">
      <c r="A471" t="n">
        <v>4000843</v>
      </c>
      <c r="C471" t="inlineStr">
        <is>
          <t>PACK X 6 TORTA COOKIES MOUSSE GR</t>
        </is>
      </c>
      <c r="D471" t="n">
        <v>1.2</v>
      </c>
      <c r="E471" t="n">
        <v>6.27</v>
      </c>
    </row>
    <row r="472">
      <c r="C472" t="inlineStr">
        <is>
          <t xml:space="preserve">ALFAJOR HELADO SHOT - GR MONOPRODUCTO </t>
        </is>
      </c>
      <c r="D472" t="n">
        <v>0.6172839506172839</v>
      </c>
    </row>
    <row r="473">
      <c r="C473" t="inlineStr">
        <is>
          <t xml:space="preserve"> BOMBON ESCOCES X8 - GRIDO MONOPRODUCTO</t>
        </is>
      </c>
      <c r="D473" t="n">
        <v>0.7142857142857143</v>
      </c>
    </row>
    <row r="474">
      <c r="C474" t="inlineStr">
        <is>
          <t>CASSATA X 8 GRIDO MONOPRODUCTO</t>
        </is>
      </c>
      <c r="D474" t="n">
        <v>0.6993006993006993</v>
      </c>
    </row>
    <row r="475">
      <c r="C475" t="inlineStr">
        <is>
          <t>ALMENDRADO X 8 - GRIDO MONOPRODUCTO</t>
        </is>
      </c>
      <c r="D475" t="n">
        <v>0.6993006993006993</v>
      </c>
    </row>
    <row r="476">
      <c r="C476" t="inlineStr">
        <is>
          <t>BOMBON SUIZO X8 - GRIDO MONOPRODUCTO</t>
        </is>
      </c>
      <c r="D476" t="n">
        <v>0.6993006993006993</v>
      </c>
    </row>
    <row r="477">
      <c r="C477" t="inlineStr">
        <is>
          <t>CROCANTINO - GRIDO  MONOPRODUCTO</t>
        </is>
      </c>
      <c r="D477" t="n">
        <v>0.4761904761904762</v>
      </c>
    </row>
    <row r="478">
      <c r="C478" t="inlineStr">
        <is>
          <t>BOMBON CROCANTE X8 - GRIDO MONOPRODUCTO</t>
        </is>
      </c>
      <c r="D478" t="n">
        <v>0.5952380952380952</v>
      </c>
    </row>
    <row r="479">
      <c r="C479" t="inlineStr">
        <is>
          <t>BOMBON VAINILLA SPLIT X 8  MONOPRODUCTO</t>
        </is>
      </c>
      <c r="D479" t="n">
        <v>0.5952380952380952</v>
      </c>
    </row>
    <row r="480">
      <c r="C480" t="inlineStr">
        <is>
          <t>DELICIA DE CHOCO.Y MANÍ - GRIDO MONOPRODUCTO</t>
        </is>
      </c>
      <c r="D480" t="n">
        <v>0.4761904761904762</v>
      </c>
    </row>
    <row r="481">
      <c r="A481" s="80" t="n">
        <v>6002671</v>
      </c>
      <c r="C481" s="80" t="inlineStr">
        <is>
          <t>PACK 12 CAJAS PIZZA FRIZZIO 510 grs.</t>
        </is>
      </c>
      <c r="D481" t="n">
        <v>0.84</v>
      </c>
    </row>
    <row r="482">
      <c r="A482" s="81" t="n">
        <v>6002675</v>
      </c>
      <c r="C482" s="81" t="inlineStr">
        <is>
          <t>PACK 12 PIZZAS INTEGRAL FRIZZIO 530 grs.</t>
        </is>
      </c>
      <c r="D482" t="n">
        <v>0.84</v>
      </c>
    </row>
    <row r="483">
      <c r="A483" s="81" t="n">
        <v>6002678</v>
      </c>
      <c r="C483" s="81" t="inlineStr">
        <is>
          <t>PACK 11 PIZZAS DE CEBOLLA FRIZZIO 540 gr</t>
        </is>
      </c>
      <c r="D483" t="n">
        <v>0.84</v>
      </c>
    </row>
    <row r="484">
      <c r="A484" s="81" t="n">
        <v>6002679</v>
      </c>
      <c r="C484" s="81" t="inlineStr">
        <is>
          <t>PACK 11 PIZZAS DE JAMON FRIZZIO 535 grs.</t>
        </is>
      </c>
      <c r="D484" t="n">
        <v>0.84</v>
      </c>
    </row>
    <row r="485">
      <c r="A485" s="81" t="n">
        <v>6002680</v>
      </c>
      <c r="C485" s="81" t="inlineStr">
        <is>
          <t>PACK X 8 PIZZA FRIZZIO T. CASERA 665 grs</t>
        </is>
      </c>
      <c r="D485" t="n">
        <v>0.84</v>
      </c>
    </row>
    <row r="486">
      <c r="A486" s="81" t="n">
        <v>6002674</v>
      </c>
      <c r="C486" s="81" t="inlineStr">
        <is>
          <t>PACK 20 UN. MINI PIZZA FRIZZIO X 180 grs</t>
        </is>
      </c>
      <c r="D486" t="n">
        <v>0.96</v>
      </c>
    </row>
    <row r="487">
      <c r="A487" s="81" t="n">
        <v>6002672</v>
      </c>
      <c r="C487" s="81" t="inlineStr">
        <is>
          <t>PACK 16 UN. BASTONCITOS FRIZZIO 380 grs</t>
        </is>
      </c>
      <c r="D487" t="n">
        <v>0.96</v>
      </c>
    </row>
    <row r="488">
      <c r="A488" s="81" t="n">
        <v>6002673</v>
      </c>
      <c r="C488" s="81" t="inlineStr">
        <is>
          <t>PACK 16 PECHUGUITA FRIZZIO 380 grs</t>
        </is>
      </c>
      <c r="D488" t="n">
        <v>0.96</v>
      </c>
    </row>
    <row r="489">
      <c r="A489" s="81" t="n">
        <v>6002676</v>
      </c>
      <c r="C489" s="81" t="inlineStr">
        <is>
          <t>PACK 72 EMPANADAS DE CARNE DE 70 grs.</t>
        </is>
      </c>
      <c r="D489" t="n">
        <v>0.88</v>
      </c>
    </row>
    <row r="490">
      <c r="A490" s="81" t="n">
        <v>6002677</v>
      </c>
      <c r="C490" s="81" t="inlineStr">
        <is>
          <t>PACK 72 EMPANADAS DE JyQ DE 70 grs.</t>
        </is>
      </c>
      <c r="D490" t="n">
        <v>0.88</v>
      </c>
    </row>
    <row r="491">
      <c r="A491" s="81" t="n">
        <v>6002706</v>
      </c>
      <c r="C491" s="81" t="inlineStr">
        <is>
          <t>FRAMBUESA DOBLE CHOCO 24 UN X 160 GR GIO</t>
        </is>
      </c>
      <c r="D491" t="n">
        <v>0.8</v>
      </c>
    </row>
    <row r="492">
      <c r="A492" s="81" t="n">
        <v>6002707</v>
      </c>
      <c r="C492" s="81" t="inlineStr">
        <is>
          <t>FRUTILLA BAÑADA C/CHOC 24 UNX 160 GR GI</t>
        </is>
      </c>
      <c r="D492" t="n">
        <v>0.8</v>
      </c>
    </row>
    <row r="493">
      <c r="A493" s="81" t="n">
        <v>6003173</v>
      </c>
      <c r="C493" s="81" t="inlineStr">
        <is>
          <t>PACK 16 PAPAS FR MCCAIN CRINKLE X 600G</t>
        </is>
      </c>
      <c r="D493" t="n">
        <v>0.8</v>
      </c>
    </row>
    <row r="494">
      <c r="A494" s="81" t="n">
        <v>6003172</v>
      </c>
      <c r="C494" s="81" t="inlineStr">
        <is>
          <t>PACK 16 PAPAS FR MCCAIN NOISSETE X 600G</t>
        </is>
      </c>
      <c r="D494" t="n">
        <v>0.8</v>
      </c>
    </row>
    <row r="495">
      <c r="A495" s="81" t="n">
        <v>6003171</v>
      </c>
      <c r="C495" s="81" t="inlineStr">
        <is>
          <t>PACK 16 PAPAS FR MCCAIN CORT TRAD X 700G</t>
        </is>
      </c>
      <c r="D495" t="n">
        <v>0.8</v>
      </c>
    </row>
    <row r="496">
      <c r="A496" s="81" t="n">
        <v>6002842</v>
      </c>
      <c r="C496" s="81" t="inlineStr">
        <is>
          <t>MEDIALUNA  X 144 UN FUDY</t>
        </is>
      </c>
      <c r="D496" t="n">
        <v>0.3</v>
      </c>
    </row>
    <row r="497">
      <c r="A497" s="78" t="n">
        <v>6002435</v>
      </c>
      <c r="C497" s="78" t="inlineStr">
        <is>
          <t>BOCADITOS FRUTILLAS DOBLE CHOC. 24 UN</t>
        </is>
      </c>
      <c r="D497" t="n">
        <v>0.9</v>
      </c>
    </row>
    <row r="498">
      <c r="A498" s="78" t="n">
        <v>6002434</v>
      </c>
      <c r="C498" s="78" t="inlineStr">
        <is>
          <t>BOCADITOS FRAMBUESAS DOBLE CHOC. 24 UN</t>
        </is>
      </c>
      <c r="D498" t="n">
        <v>0.9</v>
      </c>
    </row>
    <row r="499">
      <c r="A499" s="78" t="n">
        <v>6003178</v>
      </c>
      <c r="C499" s="78" t="inlineStr">
        <is>
          <t>WRAP DE CARNE Y CHEDDAR x 24u 210g – FRO</t>
        </is>
      </c>
      <c r="D499" t="n">
        <v>0.5</v>
      </c>
    </row>
    <row r="500">
      <c r="A500" s="78" t="n">
        <v>6003177</v>
      </c>
      <c r="C500" s="78" t="inlineStr">
        <is>
          <t>WRAP DE VEGETALES x 24u 210g - FROODIE</t>
        </is>
      </c>
      <c r="D500" t="n">
        <v>0.5</v>
      </c>
    </row>
    <row r="501">
      <c r="A501" s="78" t="n">
        <v>6003175</v>
      </c>
      <c r="C501" s="78" t="inlineStr">
        <is>
          <t>WRAP DE JYQ x 24u 210g – FROODIE</t>
        </is>
      </c>
      <c r="D501" t="n">
        <v>0.5</v>
      </c>
    </row>
    <row r="502">
      <c r="A502" s="79" t="n">
        <v>6003154</v>
      </c>
      <c r="C502" s="79" t="inlineStr">
        <is>
          <t>DUL. EQUI CHOC 80 G - CAJA 12 U - GR</t>
        </is>
      </c>
      <c r="D502" t="n">
        <v>0.42</v>
      </c>
    </row>
    <row r="503">
      <c r="A503" s="79" t="n">
        <v>6003180</v>
      </c>
      <c r="C503" s="79" t="inlineStr">
        <is>
          <t>DUL. EQUI AMER C/DUR 80G- CAJA 12 U- GR</t>
        </is>
      </c>
      <c r="D503" t="n">
        <v>0.42</v>
      </c>
    </row>
    <row r="504">
      <c r="A504" s="78" t="n">
        <v>6003055</v>
      </c>
      <c r="C504" s="78" t="inlineStr">
        <is>
          <t>SUNDAE GO TOPING SHOT X 80 UN</t>
        </is>
      </c>
      <c r="D504" t="n">
        <v>0.46</v>
      </c>
    </row>
    <row r="505">
      <c r="A505" s="79" t="n">
        <v>6003150</v>
      </c>
      <c r="C505" s="79" t="inlineStr">
        <is>
          <t>CHOCOLATE C/ LECHE EX STICKS x 5 KG</t>
        </is>
      </c>
      <c r="D505" t="n">
        <v>0.8</v>
      </c>
    </row>
    <row r="506">
      <c r="A506" s="78" t="n">
        <v>6003152</v>
      </c>
      <c r="C506" s="78" t="inlineStr">
        <is>
          <t>YOG HEL FRUTILLA 80 G - CAJA 12 U - GR</t>
        </is>
      </c>
      <c r="D506" t="n">
        <v>0.42</v>
      </c>
    </row>
    <row r="507">
      <c r="A507" s="78" t="n">
        <v>6003151</v>
      </c>
      <c r="C507" s="78" t="inlineStr">
        <is>
          <t>YOG HEL FRUT. BOS 80 G - CAJA 12 U - GR</t>
        </is>
      </c>
      <c r="D507" t="n">
        <v>0.42</v>
      </c>
    </row>
    <row r="508">
      <c r="A508" s="78" t="n">
        <v>6003153</v>
      </c>
      <c r="C508" s="78" t="inlineStr">
        <is>
          <t>YOG HEL MAN/MAR 80 G - CAJA 12 U - GR</t>
        </is>
      </c>
      <c r="D508" t="n">
        <v>0.42</v>
      </c>
    </row>
    <row r="509">
      <c r="A509" s="78" t="n">
        <v>6002712</v>
      </c>
      <c r="C509" s="78" t="inlineStr">
        <is>
          <t>SMOOTHIE N°6 KW-AN-DR THE SUBLIM x 14 U</t>
        </is>
      </c>
      <c r="D509" t="n">
        <v>0.42</v>
      </c>
    </row>
    <row r="510">
      <c r="A510" s="78" t="n">
        <v>6002713</v>
      </c>
      <c r="C510" s="78" t="inlineStr">
        <is>
          <t>SMOOTHIE N°7 AR-FR-BN BLUE SUNSETx 14 U</t>
        </is>
      </c>
      <c r="D510" t="n">
        <v>0.42</v>
      </c>
    </row>
    <row r="511">
      <c r="A511" s="78" t="n">
        <v>6002714</v>
      </c>
      <c r="C511" s="78" t="inlineStr">
        <is>
          <t>SMOOTHIE N°1 MG-FR-BN COOL MANGO x 14 U</t>
        </is>
      </c>
      <c r="D511" t="n">
        <v>0.42</v>
      </c>
    </row>
    <row r="512">
      <c r="A512" s="78" t="n">
        <v>6002715</v>
      </c>
      <c r="C512" s="78" t="inlineStr">
        <is>
          <t>SMOOTHIE N°4 DR-AN-FR VITA LIGHT x 14 U</t>
        </is>
      </c>
      <c r="D512" t="n">
        <v>0.42</v>
      </c>
    </row>
    <row r="513">
      <c r="A513" s="79" t="n">
        <v>6002847</v>
      </c>
      <c r="C513" s="79" t="inlineStr">
        <is>
          <t>SMOOTHIE NÂ°3MR-AN-DR PASION BLENDx 14 U</t>
        </is>
      </c>
      <c r="D513" t="n">
        <v>0.42</v>
      </c>
    </row>
    <row r="514">
      <c r="A514" s="78" t="n">
        <v>6003158</v>
      </c>
      <c r="C514" s="78" t="inlineStr">
        <is>
          <t>POSTRE VEG. MANI 80 G - CAJA 12 U - GR</t>
        </is>
      </c>
      <c r="D514" t="n">
        <v>0.42</v>
      </c>
    </row>
    <row r="515">
      <c r="A515" s="78" t="n">
        <v>6003157</v>
      </c>
      <c r="C515" s="78" t="inlineStr">
        <is>
          <t>POSTRE VEG. CHOCO 80 G - CAJA 12 U - GR</t>
        </is>
      </c>
      <c r="D515" t="n">
        <v>0.42</v>
      </c>
    </row>
    <row r="516">
      <c r="A516" s="78" t="n">
        <v>6003159</v>
      </c>
      <c r="C516" s="78" t="inlineStr">
        <is>
          <t>POSTRE VEG. VANILL 80 G - CAJA 12 U - GR</t>
        </is>
      </c>
      <c r="D516" t="n">
        <v>0.42</v>
      </c>
    </row>
    <row r="517">
      <c r="A517" s="78" t="n">
        <v>6003050</v>
      </c>
      <c r="C517" s="78" t="inlineStr">
        <is>
          <t>PACK 6 CAJAS PIZZA FRIZZIO 510 grs</t>
        </is>
      </c>
      <c r="D517" t="n">
        <v>0.92</v>
      </c>
    </row>
    <row r="518">
      <c r="A518" s="9" t="n">
        <v>4000062</v>
      </c>
      <c r="B518" t="inlineStr">
        <is>
          <t>PB</t>
        </is>
      </c>
      <c r="C518" s="9" t="inlineStr">
        <is>
          <t>ANANA A LA CREMA 7,800 KG GRIDO</t>
        </is>
      </c>
      <c r="D518" t="n">
        <v>0.85</v>
      </c>
    </row>
    <row r="519">
      <c r="A519" s="9" t="n">
        <v>4000048</v>
      </c>
      <c r="B519" t="inlineStr">
        <is>
          <t>PB</t>
        </is>
      </c>
      <c r="C519" s="9" t="inlineStr">
        <is>
          <t>BANANA C/DULC LECHE 7,800 KG GRIDO</t>
        </is>
      </c>
      <c r="D519" t="n">
        <v>0.85</v>
      </c>
    </row>
    <row r="520">
      <c r="A520" s="9" t="n">
        <v>4000608</v>
      </c>
      <c r="B520" t="inlineStr">
        <is>
          <t>PB</t>
        </is>
      </c>
      <c r="C520" s="9" t="inlineStr">
        <is>
          <t>CANDY 7,800 KG GRIDO</t>
        </is>
      </c>
      <c r="D520" t="n">
        <v>0.85</v>
      </c>
    </row>
    <row r="521">
      <c r="A521" s="9" t="n">
        <v>4000193</v>
      </c>
      <c r="B521" t="inlineStr">
        <is>
          <t>PB</t>
        </is>
      </c>
      <c r="C521" s="9" t="inlineStr">
        <is>
          <t>CAPPUCCINO GRANIZADO 7,800 KG GRIDO</t>
        </is>
      </c>
      <c r="D521" t="n">
        <v>0.85</v>
      </c>
    </row>
    <row r="522">
      <c r="A522" s="9" t="n">
        <v>4000070</v>
      </c>
      <c r="B522" t="inlineStr">
        <is>
          <t>PB</t>
        </is>
      </c>
      <c r="C522" s="9" t="inlineStr">
        <is>
          <t>CEREZA 7,800 KG - GRIDO</t>
        </is>
      </c>
      <c r="D522" t="n">
        <v>0.85</v>
      </c>
    </row>
    <row r="523">
      <c r="A523" s="9" t="n">
        <v>4000827</v>
      </c>
      <c r="B523" t="inlineStr">
        <is>
          <t>PB</t>
        </is>
      </c>
      <c r="C523" s="9" t="inlineStr">
        <is>
          <t>CHOCO BLANCO OREO 7,800 KG GRIDO</t>
        </is>
      </c>
      <c r="D523" t="n">
        <v>0.85</v>
      </c>
    </row>
    <row r="524">
      <c r="A524" s="9" t="n">
        <v>4000043</v>
      </c>
      <c r="B524" t="inlineStr">
        <is>
          <t>PB</t>
        </is>
      </c>
      <c r="C524" s="9" t="inlineStr">
        <is>
          <t>CHOCOLATE 7,800 KG GRIDO</t>
        </is>
      </c>
      <c r="D524" t="n">
        <v>0.85</v>
      </c>
    </row>
    <row r="525">
      <c r="A525" s="9" t="n">
        <v>4000059</v>
      </c>
      <c r="B525" t="inlineStr">
        <is>
          <t>PB</t>
        </is>
      </c>
      <c r="C525" s="9" t="inlineStr">
        <is>
          <t>CHOCOLATE BLANCO 7,800 KG GRIDO</t>
        </is>
      </c>
      <c r="D525" t="n">
        <v>0.85</v>
      </c>
    </row>
    <row r="526">
      <c r="A526" s="9" t="n">
        <v>4000067</v>
      </c>
      <c r="B526" t="inlineStr">
        <is>
          <t>PB</t>
        </is>
      </c>
      <c r="C526" s="9" t="inlineStr">
        <is>
          <t>CHOCOLATE C/ALMEN 7,800 KG GRIDO</t>
        </is>
      </c>
      <c r="D526" t="n">
        <v>0.85</v>
      </c>
    </row>
    <row r="527">
      <c r="A527" s="9" t="n">
        <v>4000061</v>
      </c>
      <c r="B527" t="inlineStr">
        <is>
          <t>PB</t>
        </is>
      </c>
      <c r="C527" s="9" t="inlineStr">
        <is>
          <t>CHOCOLATE MANI CRUNCH 7,800 KG GRIDO</t>
        </is>
      </c>
      <c r="D527" t="n">
        <v>0.85</v>
      </c>
    </row>
    <row r="528">
      <c r="A528" s="9" t="n">
        <v>4000057</v>
      </c>
      <c r="B528" t="inlineStr">
        <is>
          <t>PB</t>
        </is>
      </c>
      <c r="C528" s="9" t="inlineStr">
        <is>
          <t>CHOCOLATE SUIZO 7,800 KG GRIDO</t>
        </is>
      </c>
      <c r="D528" t="n">
        <v>0.85</v>
      </c>
    </row>
    <row r="529">
      <c r="A529" s="9" t="n">
        <v>4000045</v>
      </c>
      <c r="B529" t="inlineStr">
        <is>
          <t>PB</t>
        </is>
      </c>
      <c r="C529" s="9" t="inlineStr">
        <is>
          <t>CREMA AMERICANA 7,800 KG GRIDO</t>
        </is>
      </c>
      <c r="D529" t="n">
        <v>0.85</v>
      </c>
    </row>
    <row r="530">
      <c r="A530" s="9" t="n">
        <v>4000051</v>
      </c>
      <c r="B530" t="inlineStr">
        <is>
          <t>PB</t>
        </is>
      </c>
      <c r="C530" s="9" t="inlineStr">
        <is>
          <t>CREMA COOKIE 7,800 KG GRIDO</t>
        </is>
      </c>
      <c r="D530" t="n">
        <v>0.85</v>
      </c>
    </row>
    <row r="531">
      <c r="A531" s="9" t="n">
        <v>4000066</v>
      </c>
      <c r="B531" t="inlineStr">
        <is>
          <t>PB</t>
        </is>
      </c>
      <c r="C531" s="9" t="inlineStr">
        <is>
          <t>CREMA RUSA 7,800 KG GRIDO</t>
        </is>
      </c>
      <c r="D531" t="n">
        <v>0.85</v>
      </c>
    </row>
    <row r="532">
      <c r="A532" s="9" t="n">
        <v>4000041</v>
      </c>
      <c r="B532" t="inlineStr">
        <is>
          <t>PB</t>
        </is>
      </c>
      <c r="C532" s="9" t="inlineStr">
        <is>
          <t>DULCE DE LECHE 7,800 KG GRIDO</t>
        </is>
      </c>
      <c r="D532" t="n">
        <v>0.85</v>
      </c>
    </row>
    <row r="533">
      <c r="A533" s="9" t="n">
        <v>4000069</v>
      </c>
      <c r="B533" t="inlineStr">
        <is>
          <t>PB</t>
        </is>
      </c>
      <c r="C533" s="9" t="inlineStr">
        <is>
          <t>DULCE LECHE C/BROWNIE 7,800 KG GRIDO</t>
        </is>
      </c>
      <c r="D533" t="n">
        <v>0.85</v>
      </c>
    </row>
    <row r="534">
      <c r="A534" s="9" t="n">
        <v>4000068</v>
      </c>
      <c r="B534" t="inlineStr">
        <is>
          <t>PB</t>
        </is>
      </c>
      <c r="C534" s="9" t="inlineStr">
        <is>
          <t>DULCE LECHE C/NUEZ 7,800 KG GRIDO</t>
        </is>
      </c>
      <c r="D534" t="n">
        <v>0.85</v>
      </c>
    </row>
    <row r="535">
      <c r="A535" s="9" t="n">
        <v>4000046</v>
      </c>
      <c r="B535" t="inlineStr">
        <is>
          <t>PB</t>
        </is>
      </c>
      <c r="C535" s="9" t="inlineStr">
        <is>
          <t>DULCE LECHE GRANIZADO 7,800 KG GRIDO</t>
        </is>
      </c>
      <c r="D535" t="n">
        <v>0.85</v>
      </c>
    </row>
    <row r="536">
      <c r="A536" s="9" t="n">
        <v>4000316</v>
      </c>
      <c r="B536" t="inlineStr">
        <is>
          <t>PB</t>
        </is>
      </c>
      <c r="C536" s="9" t="inlineStr">
        <is>
          <t>DURAZNO A LA CREMA 7,800 KG GRIDO</t>
        </is>
      </c>
      <c r="D536" t="n">
        <v>0.85</v>
      </c>
    </row>
    <row r="537">
      <c r="A537" s="9" t="n">
        <v>4000047</v>
      </c>
      <c r="B537" t="inlineStr">
        <is>
          <t>PB</t>
        </is>
      </c>
      <c r="C537" s="9" t="inlineStr">
        <is>
          <t>FLAN 7,800 KG GRIDO</t>
        </is>
      </c>
      <c r="D537" t="n">
        <v>0.85</v>
      </c>
    </row>
    <row r="538">
      <c r="A538" s="9" t="n">
        <v>4000042</v>
      </c>
      <c r="B538" t="inlineStr">
        <is>
          <t>PB</t>
        </is>
      </c>
      <c r="C538" s="9" t="inlineStr">
        <is>
          <t>FRUTILLA A LA CREMA 7,800KG GRIDO</t>
        </is>
      </c>
      <c r="D538" t="n">
        <v>0.85</v>
      </c>
    </row>
    <row r="539">
      <c r="A539" s="9" t="n">
        <v>4000194</v>
      </c>
      <c r="B539" t="inlineStr">
        <is>
          <t>PB</t>
        </is>
      </c>
      <c r="C539" s="9" t="inlineStr">
        <is>
          <t>FRUTILLA AL AGUA 7,800 KG GRIDO</t>
        </is>
      </c>
      <c r="D539" t="n">
        <v>0.85</v>
      </c>
    </row>
    <row r="540">
      <c r="A540" s="9" t="n">
        <v>4000607</v>
      </c>
      <c r="B540" t="inlineStr">
        <is>
          <t>PB</t>
        </is>
      </c>
      <c r="C540" s="9" t="inlineStr">
        <is>
          <t>FRUTOS ROJOS AL AGUA 7,800 KG GRIDO</t>
        </is>
      </c>
      <c r="D540" t="n">
        <v>0.85</v>
      </c>
    </row>
    <row r="541">
      <c r="A541" s="9" t="n">
        <v>4000040</v>
      </c>
      <c r="B541" t="inlineStr">
        <is>
          <t>PB</t>
        </is>
      </c>
      <c r="C541" s="9" t="inlineStr">
        <is>
          <t>GRANIZADO 7,800 KG GRIDO</t>
        </is>
      </c>
      <c r="D541" t="n">
        <v>0.85</v>
      </c>
    </row>
    <row r="542">
      <c r="A542" s="9" t="n">
        <v>4000056</v>
      </c>
      <c r="B542" t="inlineStr">
        <is>
          <t>PB</t>
        </is>
      </c>
      <c r="C542" s="9" t="inlineStr">
        <is>
          <t>KINOTOS AL WHISKY 7,800 KG GRIDO</t>
        </is>
      </c>
      <c r="D542" t="n">
        <v>0.85</v>
      </c>
    </row>
    <row r="543">
      <c r="A543" s="9" t="n">
        <v>4000036</v>
      </c>
      <c r="B543" t="inlineStr">
        <is>
          <t>PB</t>
        </is>
      </c>
      <c r="C543" s="9" t="inlineStr">
        <is>
          <t>LIMON AL AGUA 7,800 KG GRIDO</t>
        </is>
      </c>
      <c r="D543" t="n">
        <v>0.85</v>
      </c>
    </row>
    <row r="544">
      <c r="A544" s="9" t="n">
        <v>4000038</v>
      </c>
      <c r="B544" t="inlineStr">
        <is>
          <t>PB</t>
        </is>
      </c>
      <c r="C544" s="9" t="inlineStr">
        <is>
          <t>MARACUYA AL AGUA 7,800 KG GRIDO</t>
        </is>
      </c>
      <c r="D544" t="n">
        <v>0.85</v>
      </c>
    </row>
    <row r="545">
      <c r="A545" s="9" t="n">
        <v>4000054</v>
      </c>
      <c r="B545" t="inlineStr">
        <is>
          <t>PB</t>
        </is>
      </c>
      <c r="C545" s="9" t="inlineStr">
        <is>
          <t>MARROC 7,800 KG GRIDO</t>
        </is>
      </c>
      <c r="D545" t="n">
        <v>0.85</v>
      </c>
      <c r="E545" t="n">
        <v>4000044</v>
      </c>
      <c r="F545" t="inlineStr">
        <is>
          <t>VAINILLA 7,800 KG GRIDO</t>
        </is>
      </c>
      <c r="G545" t="n">
        <v>0.8</v>
      </c>
    </row>
    <row r="546">
      <c r="A546" s="9" t="n">
        <v>4000058</v>
      </c>
      <c r="B546" t="inlineStr">
        <is>
          <t>PB</t>
        </is>
      </c>
      <c r="C546" s="9" t="inlineStr">
        <is>
          <t>MASCAR.C/FRUTOS BOSQ 7,800KG GRIDO</t>
        </is>
      </c>
      <c r="D546" t="n">
        <v>0.85</v>
      </c>
      <c r="F546" t="inlineStr">
        <is>
          <t>PACK 6 POTES X 1 LT CADBURY ALMEN. GRIDO</t>
        </is>
      </c>
      <c r="G546" t="e">
        <v>#N/A</v>
      </c>
    </row>
    <row r="547">
      <c r="A547" s="9" t="n">
        <v>4000049</v>
      </c>
      <c r="B547" t="inlineStr">
        <is>
          <t>PB</t>
        </is>
      </c>
      <c r="C547" s="9" t="inlineStr">
        <is>
          <t>MENTA GRANIZADA 7,800 KG GRIDO</t>
        </is>
      </c>
      <c r="D547" t="n">
        <v>0.85</v>
      </c>
      <c r="F547" t="inlineStr">
        <is>
          <t>PACK 6 POTES X 1 LT CADBURY YOGHURT – GR</t>
        </is>
      </c>
      <c r="G547" t="e">
        <v>#N/A</v>
      </c>
    </row>
    <row r="548">
      <c r="A548" s="9" t="n">
        <v>4000039</v>
      </c>
      <c r="B548" t="inlineStr">
        <is>
          <t>PB</t>
        </is>
      </c>
      <c r="C548" s="9" t="inlineStr">
        <is>
          <t>NARANJA AL AGUA 12 7,800 KG GRIDO</t>
        </is>
      </c>
      <c r="D548" t="n">
        <v>0.85</v>
      </c>
    </row>
    <row r="549">
      <c r="A549" s="9" t="n">
        <v>4000754</v>
      </c>
      <c r="B549" t="inlineStr">
        <is>
          <t>PB</t>
        </is>
      </c>
      <c r="C549" s="9" t="inlineStr">
        <is>
          <t>PISTACHO 7,800 KG GRIDO</t>
        </is>
      </c>
      <c r="D549" t="n">
        <v>0.85</v>
      </c>
    </row>
    <row r="550">
      <c r="A550" s="9" t="n">
        <v>4000065</v>
      </c>
      <c r="B550" t="inlineStr">
        <is>
          <t>PB</t>
        </is>
      </c>
      <c r="C550" s="9" t="inlineStr">
        <is>
          <t>SAMBAYON 7,800 KG GRIDO</t>
        </is>
      </c>
      <c r="D550" t="n">
        <v>0.85</v>
      </c>
    </row>
    <row r="551">
      <c r="A551" s="9" t="n">
        <v>4000064</v>
      </c>
      <c r="B551" t="inlineStr">
        <is>
          <t>PB</t>
        </is>
      </c>
      <c r="C551" s="9" t="inlineStr">
        <is>
          <t>SUPER DULCE DE LECHE 7,800 KG GRIDO</t>
        </is>
      </c>
      <c r="D551" t="n">
        <v>0.85</v>
      </c>
    </row>
    <row r="552">
      <c r="A552" s="9" t="n">
        <v>4000050</v>
      </c>
      <c r="B552" t="inlineStr">
        <is>
          <t>PB</t>
        </is>
      </c>
      <c r="C552" s="9" t="inlineStr">
        <is>
          <t>SUPER GRIDITO 7,800 KG GRIDO</t>
        </is>
      </c>
      <c r="D552" t="n">
        <v>0.85</v>
      </c>
    </row>
    <row r="553">
      <c r="A553" s="9" t="n">
        <v>4000071</v>
      </c>
      <c r="B553" t="inlineStr">
        <is>
          <t>PB</t>
        </is>
      </c>
      <c r="C553" s="9" t="inlineStr">
        <is>
          <t>TIRAMISU 7,800 KG GRIDO</t>
        </is>
      </c>
      <c r="D553" t="n">
        <v>0.85</v>
      </c>
    </row>
    <row r="554">
      <c r="A554" s="9" t="n">
        <v>4000055</v>
      </c>
      <c r="B554" t="inlineStr">
        <is>
          <t>PB</t>
        </is>
      </c>
      <c r="C554" s="9" t="inlineStr">
        <is>
          <t>TRAMONTANA 7,800 KG GRIDO</t>
        </is>
      </c>
      <c r="D554" t="n">
        <v>0.85</v>
      </c>
    </row>
    <row r="555" ht="16" customHeight="1" thickBot="1">
      <c r="A555" s="43" t="n">
        <v>4000044</v>
      </c>
      <c r="B555" t="inlineStr">
        <is>
          <t>PB</t>
        </is>
      </c>
      <c r="C555" s="43" t="inlineStr">
        <is>
          <t>VAINILLA 7,800 KG GRIDO</t>
        </is>
      </c>
      <c r="D555" t="n">
        <v>0.8</v>
      </c>
    </row>
    <row r="556">
      <c r="A556" s="44" t="n">
        <v>4000163</v>
      </c>
      <c r="B556" t="inlineStr">
        <is>
          <t>PB</t>
        </is>
      </c>
      <c r="C556" s="45" t="inlineStr">
        <is>
          <t>PACK X6 GRIDO FAMILIAR X3LTS NRO 1 GRIDO</t>
        </is>
      </c>
      <c r="D556" t="n">
        <v>1.333</v>
      </c>
    </row>
    <row r="557">
      <c r="A557" s="46" t="n">
        <v>4000164</v>
      </c>
      <c r="B557" t="inlineStr">
        <is>
          <t>PB</t>
        </is>
      </c>
      <c r="C557" s="15" t="inlineStr">
        <is>
          <t>PACK X 6 GRIDO FAMILIAR X3 LTS N2 GRIDO</t>
        </is>
      </c>
      <c r="D557" t="n">
        <v>1.333</v>
      </c>
    </row>
    <row r="558">
      <c r="A558" s="46" t="n">
        <v>4000165</v>
      </c>
      <c r="B558" t="inlineStr">
        <is>
          <t>PB</t>
        </is>
      </c>
      <c r="C558" s="15" t="inlineStr">
        <is>
          <t>PACK X6 GRIDO FAMILIAR X 3LTS NRO3 GRIDO</t>
        </is>
      </c>
      <c r="D558" t="n">
        <v>1.333</v>
      </c>
    </row>
    <row r="559" ht="16" customHeight="1" thickBot="1">
      <c r="A559" s="47" t="n">
        <v>4000166</v>
      </c>
      <c r="B559" t="inlineStr">
        <is>
          <t>PB</t>
        </is>
      </c>
      <c r="C559" s="48" t="inlineStr">
        <is>
          <t>PACKX 6 GRIDO FAMILIAR X3 LTS N4  GRIDO</t>
        </is>
      </c>
      <c r="D559" t="n">
        <v>1.333</v>
      </c>
    </row>
    <row r="560">
      <c r="A560" s="38" t="n">
        <v>4000835</v>
      </c>
      <c r="B560" t="inlineStr">
        <is>
          <t>PB</t>
        </is>
      </c>
      <c r="C560" s="39" t="inlineStr">
        <is>
          <t>PACK X 6 TORTA COOKIES AND CREAM GR</t>
        </is>
      </c>
      <c r="D560" t="n">
        <v>1.25</v>
      </c>
    </row>
    <row r="561">
      <c r="A561" s="40" t="n">
        <v>4000446</v>
      </c>
      <c r="B561" t="inlineStr">
        <is>
          <t>PB</t>
        </is>
      </c>
      <c r="C561" s="16" t="inlineStr">
        <is>
          <t>PACK x 6 TORTA GRIDO C/RELLENO</t>
        </is>
      </c>
      <c r="D561" t="n">
        <v>1.25</v>
      </c>
    </row>
    <row r="562" ht="16" customHeight="1" thickBot="1">
      <c r="A562" s="41" t="n">
        <v>4000843</v>
      </c>
      <c r="B562" t="inlineStr">
        <is>
          <t>PB</t>
        </is>
      </c>
      <c r="C562" s="42" t="inlineStr">
        <is>
          <t>PACK X 6 TORTA COOKIES MOUSSE GR</t>
        </is>
      </c>
      <c r="D562" t="n">
        <v>1.25</v>
      </c>
    </row>
    <row r="563">
      <c r="A563" s="49" t="n">
        <v>4000152</v>
      </c>
      <c r="B563" t="inlineStr">
        <is>
          <t>PB</t>
        </is>
      </c>
      <c r="C563" s="50" t="inlineStr">
        <is>
          <t>PACK X 6 POTE X 1LT GRANIZADO GRIDO</t>
        </is>
      </c>
      <c r="D563" t="n">
        <v>0.556</v>
      </c>
    </row>
    <row r="564">
      <c r="A564" s="51" t="n">
        <v>4000153</v>
      </c>
      <c r="B564" t="inlineStr">
        <is>
          <t>PB</t>
        </is>
      </c>
      <c r="C564" s="17" t="inlineStr">
        <is>
          <t>PACKX6 POTE X 1LT D.LECHE GRANIZ GRIDO</t>
        </is>
      </c>
      <c r="D564" t="n">
        <v>0.556</v>
      </c>
    </row>
    <row r="565">
      <c r="A565" s="51" t="n">
        <v>4000155</v>
      </c>
      <c r="B565" t="inlineStr">
        <is>
          <t>PB</t>
        </is>
      </c>
      <c r="C565" s="17" t="inlineStr">
        <is>
          <t>PACKX 6 POTE X1LT CHOC C/ALMENDRAS GRIDO</t>
        </is>
      </c>
      <c r="D565" t="n">
        <v>0.556</v>
      </c>
    </row>
    <row r="566">
      <c r="A566" s="51" t="n">
        <v>4000156</v>
      </c>
      <c r="B566" t="inlineStr">
        <is>
          <t>PB</t>
        </is>
      </c>
      <c r="C566" s="17" t="inlineStr">
        <is>
          <t>PACK X 6 POTE X 1 LT NRO 6 LIMON - GRIDO</t>
        </is>
      </c>
      <c r="D566" t="n">
        <v>0.556</v>
      </c>
    </row>
    <row r="567">
      <c r="A567" s="51" t="n">
        <v>4000157</v>
      </c>
      <c r="B567" t="inlineStr">
        <is>
          <t>PB</t>
        </is>
      </c>
      <c r="C567" s="17" t="inlineStr">
        <is>
          <t>PACK X 6 POTE X 1LT CREMA COOKIE - GRIDO</t>
        </is>
      </c>
      <c r="D567" t="n">
        <v>0.556</v>
      </c>
    </row>
    <row r="568">
      <c r="A568" s="51" t="n">
        <v>4000158</v>
      </c>
      <c r="B568" t="inlineStr">
        <is>
          <t>PB</t>
        </is>
      </c>
      <c r="C568" s="17" t="inlineStr">
        <is>
          <t>PACK X 6 POTE X 1 LT CHOCOLATE GRIDO</t>
        </is>
      </c>
      <c r="D568" t="n">
        <v>0.556</v>
      </c>
    </row>
    <row r="569">
      <c r="A569" s="51" t="n">
        <v>4000159</v>
      </c>
      <c r="B569" t="inlineStr">
        <is>
          <t>PB</t>
        </is>
      </c>
      <c r="C569" s="17" t="inlineStr">
        <is>
          <t>PACK X 6 POTE X 1 LT NRO 9 DDL - GRIDO</t>
        </is>
      </c>
      <c r="D569" t="n">
        <v>0.556</v>
      </c>
    </row>
    <row r="570">
      <c r="A570" s="51" t="n">
        <v>4000160</v>
      </c>
      <c r="B570" t="inlineStr">
        <is>
          <t>PB</t>
        </is>
      </c>
      <c r="C570" s="17" t="inlineStr">
        <is>
          <t>PACK X 6 POTE X 1 LT FRUTILLA - GRIDO</t>
        </is>
      </c>
      <c r="D570" t="n">
        <v>0.556</v>
      </c>
    </row>
    <row r="571">
      <c r="A571" s="51" t="n">
        <v>4000161</v>
      </c>
      <c r="B571" t="inlineStr">
        <is>
          <t>PB</t>
        </is>
      </c>
      <c r="C571" s="17" t="inlineStr">
        <is>
          <t>PACK X 6 POTE X 1 LT  VAINILLA - GRIDO</t>
        </is>
      </c>
      <c r="D571" t="n">
        <v>0.556</v>
      </c>
    </row>
    <row r="572">
      <c r="A572" s="51" t="n">
        <v>4000162</v>
      </c>
      <c r="B572" t="inlineStr">
        <is>
          <t>PB</t>
        </is>
      </c>
      <c r="C572" s="17" t="inlineStr">
        <is>
          <t>PACK X6 POTE X 1LT CREMA AMERICANA GRIDO</t>
        </is>
      </c>
      <c r="D572" t="n">
        <v>0.556</v>
      </c>
    </row>
    <row r="573">
      <c r="A573" s="51" t="n">
        <v>4000341</v>
      </c>
      <c r="B573" t="inlineStr">
        <is>
          <t>PB</t>
        </is>
      </c>
      <c r="C573" s="17" t="inlineStr">
        <is>
          <t>PACK 6 POTES X 1 LT GALLETITA TODDY -GRI</t>
        </is>
      </c>
      <c r="D573" t="n">
        <v>0.556</v>
      </c>
    </row>
    <row r="574">
      <c r="A574" s="51" t="n">
        <v>4000435</v>
      </c>
      <c r="B574" t="inlineStr">
        <is>
          <t>PB</t>
        </is>
      </c>
      <c r="C574" s="17" t="inlineStr">
        <is>
          <t>PACK 6 POTES X 1 LT CADBURY ALMEN. GRIDO</t>
        </is>
      </c>
      <c r="D574" t="n">
        <v>0.556</v>
      </c>
    </row>
    <row r="575">
      <c r="A575" s="51" t="n">
        <v>4000436</v>
      </c>
      <c r="B575" t="inlineStr">
        <is>
          <t>PB</t>
        </is>
      </c>
      <c r="C575" s="17" t="inlineStr">
        <is>
          <t>PACK 6 POTES X 1 LT CADBURY YOGHURT – GR</t>
        </is>
      </c>
      <c r="D575" t="n">
        <v>0.556</v>
      </c>
    </row>
    <row r="576" ht="16" customHeight="1" thickBot="1">
      <c r="A576" s="52" t="n">
        <v>4000670</v>
      </c>
      <c r="B576" t="inlineStr">
        <is>
          <t>PB</t>
        </is>
      </c>
      <c r="C576" s="53" t="inlineStr">
        <is>
          <t>PACK X 6 POTE X 1 LT MENTA GRANIZ. GRIDO</t>
        </is>
      </c>
      <c r="D576" t="n">
        <v>0.556</v>
      </c>
    </row>
    <row r="577">
      <c r="A577" s="54" t="n">
        <v>4000136</v>
      </c>
      <c r="B577" t="inlineStr">
        <is>
          <t>PB</t>
        </is>
      </c>
      <c r="C577" s="55" t="inlineStr">
        <is>
          <t>PACK 4 CAJGRIDO CREM DE CREMA AMERICANA</t>
        </is>
      </c>
      <c r="D577" t="n">
        <v>0.834</v>
      </c>
    </row>
    <row r="578">
      <c r="A578" s="56" t="n">
        <v>4000137</v>
      </c>
      <c r="B578" t="inlineStr">
        <is>
          <t>PB</t>
        </is>
      </c>
      <c r="C578" s="18" t="inlineStr">
        <is>
          <t>PACK 4 CAJAS GRIDO CREMOSO DE FRUTILLA</t>
        </is>
      </c>
      <c r="D578" t="n">
        <v>0.834</v>
      </c>
    </row>
    <row r="579">
      <c r="A579" s="56" t="n">
        <v>4000138</v>
      </c>
      <c r="B579" t="inlineStr">
        <is>
          <t>PB</t>
        </is>
      </c>
      <c r="C579" s="18" t="inlineStr">
        <is>
          <t>PACK 4 CAJAS GRIDO FRUTAL FRUTILLA X20</t>
        </is>
      </c>
      <c r="D579" t="n">
        <v>0.834</v>
      </c>
    </row>
    <row r="580">
      <c r="A580" s="56" t="n">
        <v>4000139</v>
      </c>
      <c r="B580" t="inlineStr">
        <is>
          <t>PB</t>
        </is>
      </c>
      <c r="C580" s="18" t="inlineStr">
        <is>
          <t>PACK 4 CAJAS GRIDO FRUTAL LIMON X20</t>
        </is>
      </c>
      <c r="D580" t="n">
        <v>0.834</v>
      </c>
    </row>
    <row r="581">
      <c r="A581" s="56" t="n">
        <v>4000140</v>
      </c>
      <c r="B581" t="inlineStr">
        <is>
          <t>PB</t>
        </is>
      </c>
      <c r="C581" s="18" t="inlineStr">
        <is>
          <t>PACK 4 CAJAS PALITO BOMBON X20 - GRIDO</t>
        </is>
      </c>
      <c r="D581" t="n">
        <v>0.834</v>
      </c>
    </row>
    <row r="582" ht="16" customHeight="1" thickBot="1">
      <c r="A582" s="56" t="n">
        <v>4000141</v>
      </c>
      <c r="B582" t="inlineStr">
        <is>
          <t>PB</t>
        </is>
      </c>
      <c r="C582" s="18" t="inlineStr">
        <is>
          <t>PACK 4 CAJAS GRIDO FRUTAL NARANJA X20</t>
        </is>
      </c>
      <c r="D582" t="n">
        <v>0.834</v>
      </c>
    </row>
    <row r="583">
      <c r="A583" s="57" t="n">
        <v>4000742</v>
      </c>
      <c r="B583" t="inlineStr">
        <is>
          <t>PB</t>
        </is>
      </c>
      <c r="C583" s="58" t="inlineStr">
        <is>
          <t>PACK X 6 CAJ. ALFAJOR HELADO SHOT - GR</t>
        </is>
      </c>
      <c r="D583" t="n">
        <v>0.92</v>
      </c>
    </row>
    <row r="584" ht="16" customHeight="1" thickBot="1">
      <c r="A584" s="59" t="n">
        <v>4000147</v>
      </c>
      <c r="B584" t="inlineStr">
        <is>
          <t>PB</t>
        </is>
      </c>
      <c r="C584" s="60" t="inlineStr">
        <is>
          <t>PACK 6 CAJAS BOMBON ESCOCES X8 - GRIDO</t>
        </is>
      </c>
      <c r="D584" t="n">
        <v>0.714</v>
      </c>
    </row>
    <row r="585">
      <c r="A585" s="61" t="n">
        <v>4000142</v>
      </c>
      <c r="B585" t="inlineStr">
        <is>
          <t>PB</t>
        </is>
      </c>
      <c r="C585" s="62" t="inlineStr">
        <is>
          <t>PACK 6 CAJAS CASSATA X 8 GRIDO</t>
        </is>
      </c>
      <c r="D585" t="n">
        <v>0.769</v>
      </c>
    </row>
    <row r="586">
      <c r="A586" s="63" t="n">
        <v>4000143</v>
      </c>
      <c r="B586" t="inlineStr">
        <is>
          <t>PB</t>
        </is>
      </c>
      <c r="C586" s="19" t="inlineStr">
        <is>
          <t>PACK 6 CAJAS ALMENDRADO X 8 - GRIDO</t>
        </is>
      </c>
      <c r="D586" t="n">
        <v>0.769</v>
      </c>
    </row>
    <row r="587" ht="16" customHeight="1" thickBot="1">
      <c r="A587" s="64" t="n">
        <v>4000146</v>
      </c>
      <c r="B587" t="inlineStr">
        <is>
          <t>PB</t>
        </is>
      </c>
      <c r="C587" s="65" t="inlineStr">
        <is>
          <t>PACK 6 CAJAS BOMBON SUIZO X8 - GRIDO</t>
        </is>
      </c>
      <c r="D587" t="n">
        <v>0.769</v>
      </c>
    </row>
    <row r="588">
      <c r="A588" s="66" t="n">
        <v>4000144</v>
      </c>
      <c r="B588" t="inlineStr">
        <is>
          <t>PB</t>
        </is>
      </c>
      <c r="C588" s="67" t="inlineStr">
        <is>
          <t>PACK 4 U. POSTRE CROCANTINO - GRIDO</t>
        </is>
      </c>
      <c r="D588" t="n">
        <v>0.476</v>
      </c>
    </row>
    <row r="589">
      <c r="A589" s="68" t="n">
        <v>4000145</v>
      </c>
      <c r="B589" t="inlineStr">
        <is>
          <t>PB</t>
        </is>
      </c>
      <c r="C589" s="20" t="inlineStr">
        <is>
          <t>PACK 6 CAJAS BOMBON CROCANTE X8 - GRIDO</t>
        </is>
      </c>
      <c r="D589" t="n">
        <v>0.641</v>
      </c>
    </row>
    <row r="590">
      <c r="A590" s="68" t="n">
        <v>4000148</v>
      </c>
      <c r="B590" t="inlineStr">
        <is>
          <t>PB</t>
        </is>
      </c>
      <c r="C590" s="20" t="inlineStr">
        <is>
          <t>PACK 6 CAJAS BOMBON VAINILLA SPLIT X 8</t>
        </is>
      </c>
      <c r="D590" t="n">
        <v>0.641</v>
      </c>
    </row>
    <row r="591" ht="16" customHeight="1" thickBot="1">
      <c r="A591" s="69" t="n">
        <v>4000593</v>
      </c>
      <c r="B591" t="inlineStr">
        <is>
          <t>PB</t>
        </is>
      </c>
      <c r="C591" s="70" t="inlineStr">
        <is>
          <t>PACK 4 U DELICIA DE CHOCO.Y MANÍ - GRIDO</t>
        </is>
      </c>
      <c r="D591" t="n">
        <v>0.476</v>
      </c>
    </row>
  </sheetData>
  <autoFilter ref="A1:G46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Hoja14">
    <outlinePr summaryBelow="1" summaryRight="1"/>
    <pageSetUpPr/>
  </sheetPr>
  <dimension ref="A1:C108"/>
  <sheetViews>
    <sheetView topLeftCell="A97" workbookViewId="0">
      <selection activeCell="E104" sqref="E104"/>
    </sheetView>
  </sheetViews>
  <sheetFormatPr baseColWidth="10" defaultColWidth="11.5" defaultRowHeight="15"/>
  <cols>
    <col width="41.5" bestFit="1" customWidth="1" min="2" max="2"/>
  </cols>
  <sheetData>
    <row r="1">
      <c r="A1" t="n">
        <v>4000036</v>
      </c>
      <c r="B1" t="inlineStr">
        <is>
          <t>LIMON AL AGUA 7,800 KG GRIDO</t>
        </is>
      </c>
      <c r="C1" s="21" t="n">
        <v>10232.17</v>
      </c>
    </row>
    <row r="2">
      <c r="A2" t="n">
        <v>4000038</v>
      </c>
      <c r="B2" s="21" t="inlineStr">
        <is>
          <t>MARACUYA AL AGUA 7,800 KG GRIDO</t>
        </is>
      </c>
      <c r="C2" s="21" t="n">
        <v>10232.17</v>
      </c>
    </row>
    <row r="3">
      <c r="A3" t="n">
        <v>4000039</v>
      </c>
      <c r="B3" s="21" t="inlineStr">
        <is>
          <t>NARANJA AL AGUA 12 7,800 KG GRIDO</t>
        </is>
      </c>
      <c r="C3" s="21" t="n">
        <v>10232.17</v>
      </c>
    </row>
    <row r="4">
      <c r="A4" t="n">
        <v>4000040</v>
      </c>
      <c r="B4" s="21" t="inlineStr">
        <is>
          <t>GRANIZADO 7,800 KG GRIDO</t>
        </is>
      </c>
      <c r="C4" s="21" t="n">
        <v>19297.96</v>
      </c>
    </row>
    <row r="5">
      <c r="A5" t="n">
        <v>4000041</v>
      </c>
      <c r="B5" s="21" t="inlineStr">
        <is>
          <t>DULCE DE LECHE 7,800 KG GRIDO</t>
        </is>
      </c>
      <c r="C5" s="21" t="n">
        <v>19297.96</v>
      </c>
    </row>
    <row r="6">
      <c r="A6" t="n">
        <v>4000042</v>
      </c>
      <c r="B6" s="21" t="inlineStr">
        <is>
          <t>FRUTILLA A LA CREMA 7,800KG GRIDO</t>
        </is>
      </c>
      <c r="C6" s="21" t="n">
        <v>19297.96</v>
      </c>
    </row>
    <row r="7">
      <c r="A7" t="n">
        <v>4000043</v>
      </c>
      <c r="B7" s="21" t="inlineStr">
        <is>
          <t>CHOCOLATE 7,800 KG GRIDO</t>
        </is>
      </c>
      <c r="C7" s="21" t="n">
        <v>19297.96</v>
      </c>
    </row>
    <row r="8">
      <c r="A8" t="n">
        <v>4000044</v>
      </c>
      <c r="B8" s="21" t="inlineStr">
        <is>
          <t>VAINILLA 7,800 KG GRIDO</t>
        </is>
      </c>
      <c r="C8" s="21" t="n">
        <v>19297.96</v>
      </c>
    </row>
    <row r="9">
      <c r="A9" t="n">
        <v>4000045</v>
      </c>
      <c r="B9" s="21" t="inlineStr">
        <is>
          <t>CREMA AMERICANA 7,800 KG GRIDO</t>
        </is>
      </c>
      <c r="C9" s="21" t="n">
        <v>19297.96</v>
      </c>
    </row>
    <row r="10">
      <c r="A10" t="n">
        <v>4000046</v>
      </c>
      <c r="B10" s="21" t="inlineStr">
        <is>
          <t>DULCE LECHE GRANIZADO 7,800 KG GRIDO</t>
        </is>
      </c>
      <c r="C10" s="21" t="n">
        <v>19297.96</v>
      </c>
    </row>
    <row r="11">
      <c r="A11" t="n">
        <v>4000047</v>
      </c>
      <c r="B11" s="21" t="inlineStr">
        <is>
          <t>FLAN 7,800 KG GRIDO</t>
        </is>
      </c>
      <c r="C11" s="21" t="n">
        <v>19297.96</v>
      </c>
    </row>
    <row r="12">
      <c r="A12" t="n">
        <v>4000048</v>
      </c>
      <c r="B12" s="21" t="inlineStr">
        <is>
          <t>BANANA C/DULC LECHE 7,800 KG GRIDO</t>
        </is>
      </c>
      <c r="C12" s="21" t="n">
        <v>19297.96</v>
      </c>
    </row>
    <row r="13">
      <c r="A13" t="n">
        <v>4000049</v>
      </c>
      <c r="B13" s="21" t="inlineStr">
        <is>
          <t>MENTA GRANIZADA 7,800 KG GRIDO</t>
        </is>
      </c>
      <c r="C13" s="21" t="n">
        <v>19297.96</v>
      </c>
    </row>
    <row r="14">
      <c r="A14" t="n">
        <v>4000050</v>
      </c>
      <c r="B14" s="21" t="inlineStr">
        <is>
          <t>SUPER GRIDITO 7,800 KG GRIDO</t>
        </is>
      </c>
      <c r="C14" s="21" t="n">
        <v>19297.96</v>
      </c>
    </row>
    <row r="15">
      <c r="A15" t="n">
        <v>4000051</v>
      </c>
      <c r="B15" t="inlineStr">
        <is>
          <t>CREMA COOKIE 7,800 KG GRIDO</t>
        </is>
      </c>
      <c r="C15" s="21" t="n">
        <v>19297.96</v>
      </c>
    </row>
    <row r="16">
      <c r="A16" t="n">
        <v>4000054</v>
      </c>
      <c r="B16" t="inlineStr">
        <is>
          <t>MARROC 7,800 KG GRIDO</t>
        </is>
      </c>
      <c r="C16" s="21" t="n">
        <v>21087.21</v>
      </c>
    </row>
    <row r="17">
      <c r="A17" t="n">
        <v>4000055</v>
      </c>
      <c r="B17" t="inlineStr">
        <is>
          <t>TRAMONTANA 7,800 KG GRIDO</t>
        </is>
      </c>
      <c r="C17" s="21" t="n">
        <v>21087.21</v>
      </c>
    </row>
    <row r="18">
      <c r="A18" t="n">
        <v>4000056</v>
      </c>
      <c r="B18" t="inlineStr">
        <is>
          <t>KINOTOS AL WHISKY 7,800 KG GRIDO</t>
        </is>
      </c>
      <c r="C18" s="21" t="n">
        <v>21087.21</v>
      </c>
    </row>
    <row r="19">
      <c r="A19" t="n">
        <v>4000057</v>
      </c>
      <c r="B19" t="inlineStr">
        <is>
          <t>CHOCOLATE SUIZO 7,800 KG GRIDO</t>
        </is>
      </c>
      <c r="C19" s="21" t="n">
        <v>22569.84</v>
      </c>
    </row>
    <row r="20">
      <c r="A20" t="n">
        <v>4000058</v>
      </c>
      <c r="B20" t="inlineStr">
        <is>
          <t>MASCAR.C/FRUTOS BOSQ 7,800KG GRIDO</t>
        </is>
      </c>
      <c r="C20" s="21" t="n">
        <v>21087.21</v>
      </c>
    </row>
    <row r="21">
      <c r="A21" t="n">
        <v>4000059</v>
      </c>
      <c r="B21" t="inlineStr">
        <is>
          <t>CHOCOLATE BLANCO 7,800 KG GRIDO</t>
        </is>
      </c>
      <c r="C21" s="21" t="n">
        <v>21087.21</v>
      </c>
    </row>
    <row r="22">
      <c r="A22" t="n">
        <v>4000061</v>
      </c>
      <c r="B22" t="inlineStr">
        <is>
          <t>CHOCOLATE MANI CRUNCH 7,800 KG GRIDO</t>
        </is>
      </c>
      <c r="C22" s="21" t="n">
        <v>21087.21</v>
      </c>
    </row>
    <row r="23">
      <c r="A23" t="n">
        <v>4000062</v>
      </c>
      <c r="B23" t="inlineStr">
        <is>
          <t>ANANA A LA CREMA 7,800 KG GRIDO</t>
        </is>
      </c>
      <c r="C23" s="21" t="n">
        <v>21087.21</v>
      </c>
    </row>
    <row r="24">
      <c r="A24" t="n">
        <v>4000064</v>
      </c>
      <c r="B24" t="inlineStr">
        <is>
          <t>SUPER DULCE DE LECHE 7,800 KG GRIDO</t>
        </is>
      </c>
      <c r="C24" s="21" t="n">
        <v>21087.21</v>
      </c>
    </row>
    <row r="25">
      <c r="A25" t="n">
        <v>4000065</v>
      </c>
      <c r="B25" t="inlineStr">
        <is>
          <t>SAMBAYON 7,800 KG GRIDO</t>
        </is>
      </c>
      <c r="C25" s="21" t="n">
        <v>22569.84</v>
      </c>
    </row>
    <row r="26">
      <c r="A26" t="n">
        <v>4000066</v>
      </c>
      <c r="B26" t="inlineStr">
        <is>
          <t>CREMA RUSA 7,800 KG GRIDO</t>
        </is>
      </c>
      <c r="C26" s="21" t="n">
        <v>22569.84</v>
      </c>
    </row>
    <row r="27">
      <c r="A27" t="n">
        <v>4000067</v>
      </c>
      <c r="B27" t="inlineStr">
        <is>
          <t>CHOCOLATE C/ALMEN 7,800 KG GRIDO</t>
        </is>
      </c>
      <c r="C27" s="21" t="n">
        <v>22569.84</v>
      </c>
    </row>
    <row r="28">
      <c r="A28" t="n">
        <v>4000068</v>
      </c>
      <c r="B28" t="inlineStr">
        <is>
          <t>DULCE LECHE C/NUEZ 7,800 KG GRIDO</t>
        </is>
      </c>
      <c r="C28" s="21" t="n">
        <v>22569.84</v>
      </c>
    </row>
    <row r="29">
      <c r="A29" t="n">
        <v>4000069</v>
      </c>
      <c r="B29" t="inlineStr">
        <is>
          <t>DULCE LECHE C/BROWNIE 7,800 KG GRIDO</t>
        </is>
      </c>
      <c r="C29" s="21" t="n">
        <v>22569.84</v>
      </c>
    </row>
    <row r="30">
      <c r="A30" t="n">
        <v>4000070</v>
      </c>
      <c r="B30" t="inlineStr">
        <is>
          <t>CEREZA 7,800 KG - GRIDO</t>
        </is>
      </c>
      <c r="C30" s="21" t="n">
        <v>21087.21</v>
      </c>
    </row>
    <row r="31">
      <c r="A31" t="n">
        <v>4000071</v>
      </c>
      <c r="B31" t="inlineStr">
        <is>
          <t>TIRAMISU 7,800 KG GRIDO</t>
        </is>
      </c>
      <c r="C31" s="21" t="n">
        <v>22569.84</v>
      </c>
    </row>
    <row r="32">
      <c r="A32" t="n">
        <v>4000136</v>
      </c>
      <c r="B32" t="inlineStr">
        <is>
          <t>PACK 4 CAJGRIDO CREM DE CREMA AMERICANA</t>
        </is>
      </c>
      <c r="C32" s="21" t="n">
        <v>12048.05</v>
      </c>
    </row>
    <row r="33">
      <c r="A33" t="n">
        <v>4000137</v>
      </c>
      <c r="B33" t="inlineStr">
        <is>
          <t>PACK 4 CAJAS GRIDO CREMOSO DE FRUTILLA</t>
        </is>
      </c>
      <c r="C33" s="21" t="n">
        <v>12048.05</v>
      </c>
    </row>
    <row r="34">
      <c r="A34" t="n">
        <v>4000138</v>
      </c>
      <c r="B34" t="inlineStr">
        <is>
          <t>PACK 4 CAJAS GRIDO FRUTAL FRUTILLA X20</t>
        </is>
      </c>
      <c r="C34" s="21" t="n">
        <v>8397.049999999999</v>
      </c>
    </row>
    <row r="35">
      <c r="A35" t="n">
        <v>4000139</v>
      </c>
      <c r="B35" t="inlineStr">
        <is>
          <t>PACK 4 CAJAS GRIDO FRUTAL LIMON X20</t>
        </is>
      </c>
      <c r="C35" s="21" t="n">
        <v>8397.049999999999</v>
      </c>
    </row>
    <row r="36">
      <c r="A36" t="n">
        <v>4000140</v>
      </c>
      <c r="B36" t="inlineStr">
        <is>
          <t>PACK 4 CAJAS PALITO BOMBON X20 - GRIDO</t>
        </is>
      </c>
      <c r="C36" s="21" t="n">
        <v>17105.13</v>
      </c>
    </row>
    <row r="37">
      <c r="A37" t="n">
        <v>4000141</v>
      </c>
      <c r="B37" t="inlineStr">
        <is>
          <t>PACK 4 CAJAS GRIDO FRUTAL NARANJA X20</t>
        </is>
      </c>
      <c r="C37" s="21" t="n">
        <v>8397.049999999999</v>
      </c>
    </row>
    <row r="38">
      <c r="A38" t="n">
        <v>4000142</v>
      </c>
      <c r="B38" t="inlineStr">
        <is>
          <t>PACK 6 CAJAS CASSATA X 8 GRIDO</t>
        </is>
      </c>
      <c r="C38" s="21" t="n">
        <v>10777.93</v>
      </c>
    </row>
    <row r="39">
      <c r="A39" t="n">
        <v>4000143</v>
      </c>
      <c r="B39" t="inlineStr">
        <is>
          <t>PACK 6 CAJAS ALMENDRADO X 8 - GRIDO</t>
        </is>
      </c>
      <c r="C39" s="21" t="n">
        <v>12169.32</v>
      </c>
    </row>
    <row r="40">
      <c r="A40" t="n">
        <v>4000144</v>
      </c>
      <c r="B40" t="inlineStr">
        <is>
          <t>PACK 4 U. POSTRE CROCANTINO - GRIDO</t>
        </is>
      </c>
      <c r="C40" s="21" t="n">
        <v>8588.91</v>
      </c>
    </row>
    <row r="41">
      <c r="A41" t="n">
        <v>4000145</v>
      </c>
      <c r="B41" t="inlineStr">
        <is>
          <t>PACK 6 CAJAS BOMBON CROCANTE X8 - GRIDO</t>
        </is>
      </c>
      <c r="C41" s="21" t="n">
        <v>14880</v>
      </c>
    </row>
    <row r="42">
      <c r="A42" t="n">
        <v>4000146</v>
      </c>
      <c r="B42" t="inlineStr">
        <is>
          <t>PACK 6 CAJAS BOMBON SUIZO X8 - GRIDO</t>
        </is>
      </c>
      <c r="C42" s="21" t="n">
        <v>15565.78</v>
      </c>
    </row>
    <row r="43">
      <c r="A43" t="n">
        <v>4000147</v>
      </c>
      <c r="B43" t="inlineStr">
        <is>
          <t>PACK 6 CAJAS BOMBON ESCOCES X8 - GRIDO</t>
        </is>
      </c>
      <c r="C43" s="21" t="n">
        <v>17309.83</v>
      </c>
    </row>
    <row r="44">
      <c r="A44" t="n">
        <v>4000148</v>
      </c>
      <c r="B44" t="inlineStr">
        <is>
          <t>PACK 6 CAJAS BOMBON VAINILLA SPLIT X 8</t>
        </is>
      </c>
      <c r="C44" s="21" t="n">
        <v>14880</v>
      </c>
    </row>
    <row r="45">
      <c r="A45" t="n">
        <v>4000152</v>
      </c>
      <c r="B45" t="inlineStr">
        <is>
          <t>PACK X 6 POTE X 1LT GRANIZADO GRIDO</t>
        </is>
      </c>
      <c r="C45" s="21" t="n">
        <v>9436.969999999999</v>
      </c>
    </row>
    <row r="46">
      <c r="A46" t="n">
        <v>4000153</v>
      </c>
      <c r="B46" t="inlineStr">
        <is>
          <t>PACKX6 POTE X 1LT D.LECHE GRANIZ GRIDO</t>
        </is>
      </c>
      <c r="C46" s="21" t="n">
        <v>9436.969999999999</v>
      </c>
    </row>
    <row r="47">
      <c r="A47" t="n">
        <v>4000154</v>
      </c>
      <c r="B47" t="inlineStr">
        <is>
          <t>PACK X 6 POTE X 1 LT  MASCARPONE - GRIDO</t>
        </is>
      </c>
      <c r="C47" s="21" t="n">
        <v>9436.969999999999</v>
      </c>
    </row>
    <row r="48">
      <c r="A48" t="n">
        <v>4000155</v>
      </c>
      <c r="B48" t="inlineStr">
        <is>
          <t>PACKX 6 POTE X1LT CHOC C/ALMENDRAS GRIDO</t>
        </is>
      </c>
      <c r="C48" s="21" t="n">
        <v>9436.969999999999</v>
      </c>
    </row>
    <row r="49">
      <c r="A49" t="n">
        <v>4000156</v>
      </c>
      <c r="B49" t="inlineStr">
        <is>
          <t>PACK X 6 POTE X 1 LT NRO 6 LIMON - GRIDO</t>
        </is>
      </c>
      <c r="C49" s="21" t="n">
        <v>9436.969999999999</v>
      </c>
    </row>
    <row r="50">
      <c r="A50" t="n">
        <v>4000157</v>
      </c>
      <c r="B50" t="inlineStr">
        <is>
          <t>PACK X 6 POTE X 1LT CREMA COOKIE - GRIDO</t>
        </is>
      </c>
      <c r="C50" s="21" t="n">
        <v>9436.969999999999</v>
      </c>
    </row>
    <row r="51">
      <c r="A51" t="n">
        <v>4000158</v>
      </c>
      <c r="B51" t="inlineStr">
        <is>
          <t>PACK X 6 POTE X 1 LT CHOCOLATE GRIDO</t>
        </is>
      </c>
      <c r="C51" s="21" t="n">
        <v>9436.969999999999</v>
      </c>
    </row>
    <row r="52">
      <c r="A52" t="n">
        <v>4000159</v>
      </c>
      <c r="B52" t="inlineStr">
        <is>
          <t>PACK X 6 POTE X 1 LT NRO 9 DDL - GRIDO</t>
        </is>
      </c>
      <c r="C52" s="21" t="n">
        <v>9436.969999999999</v>
      </c>
    </row>
    <row r="53">
      <c r="A53" t="n">
        <v>4000160</v>
      </c>
      <c r="B53" t="inlineStr">
        <is>
          <t>PACK X 6 POTE X 1 LT FRUTILLA - GRIDO</t>
        </is>
      </c>
      <c r="C53" s="21" t="n">
        <v>9436.969999999999</v>
      </c>
    </row>
    <row r="54">
      <c r="A54" t="n">
        <v>4000161</v>
      </c>
      <c r="B54" t="inlineStr">
        <is>
          <t>PACK X 6 POTE X 1 LT  VAINILLA - GRIDO</t>
        </is>
      </c>
      <c r="C54" s="21" t="n">
        <v>9436.969999999999</v>
      </c>
    </row>
    <row r="55">
      <c r="A55" t="n">
        <v>4000162</v>
      </c>
      <c r="B55" t="inlineStr">
        <is>
          <t>PACK X6 POTE X 1LT CREMA AMERICANA GRIDO</t>
        </is>
      </c>
      <c r="C55" s="21" t="n">
        <v>9436.969999999999</v>
      </c>
    </row>
    <row r="56">
      <c r="A56" t="n">
        <v>4000163</v>
      </c>
      <c r="B56" t="inlineStr">
        <is>
          <t>PACK X6 GRIDO FAMILIAR X3LTS NRO 1 GRIDO</t>
        </is>
      </c>
      <c r="C56" s="21" t="n">
        <v>25124.24</v>
      </c>
    </row>
    <row r="57">
      <c r="A57" t="n">
        <v>4000164</v>
      </c>
      <c r="B57" t="inlineStr">
        <is>
          <t>PACK X 6 GRIDO FAMILIAR X3 LTS N2 GRIDO</t>
        </is>
      </c>
      <c r="C57" s="21" t="n">
        <v>25124.24</v>
      </c>
    </row>
    <row r="58">
      <c r="A58" t="n">
        <v>4000165</v>
      </c>
      <c r="B58" t="inlineStr">
        <is>
          <t>PACK X6 GRIDO FAMILIAR X 3LTS NRO3 GRIDO</t>
        </is>
      </c>
      <c r="C58" s="21" t="n">
        <v>25124.24</v>
      </c>
    </row>
    <row r="59">
      <c r="A59" t="n">
        <v>4000166</v>
      </c>
      <c r="B59" t="inlineStr">
        <is>
          <t>PACKX 6 GRIDO FAMILIAR X3 LTS N4  GRIDO</t>
        </is>
      </c>
      <c r="C59" s="21" t="n">
        <v>25124.24</v>
      </c>
    </row>
    <row r="60">
      <c r="A60" t="n">
        <v>4000193</v>
      </c>
      <c r="B60" t="inlineStr">
        <is>
          <t>CAPPUCCINO GRANIZADO 7,800 KG GRIDO</t>
        </is>
      </c>
      <c r="C60" s="21" t="n">
        <v>21087.21</v>
      </c>
    </row>
    <row r="61">
      <c r="A61" t="n">
        <v>4000194</v>
      </c>
      <c r="B61" t="inlineStr">
        <is>
          <t>FRUTILLA AL AGUA 7,800 KG GRIDO</t>
        </is>
      </c>
      <c r="C61" s="21" t="n">
        <v>10232.17</v>
      </c>
    </row>
    <row r="62">
      <c r="A62" t="n">
        <v>4000316</v>
      </c>
      <c r="B62" t="inlineStr">
        <is>
          <t>DURAZNO A LA CREMA 7,800 KG GRIDO</t>
        </is>
      </c>
      <c r="C62" s="21" t="n">
        <v>19297.96</v>
      </c>
    </row>
    <row r="63">
      <c r="A63" t="n">
        <v>4000341</v>
      </c>
      <c r="B63" t="inlineStr">
        <is>
          <t>PACK 6 POTES X 1 LT GALLETITA TODDY -GRI</t>
        </is>
      </c>
      <c r="C63" s="21" t="n">
        <v>9436.969999999999</v>
      </c>
    </row>
    <row r="64">
      <c r="A64" t="n">
        <v>4000446</v>
      </c>
      <c r="B64" t="inlineStr">
        <is>
          <t>PACK x 6 TORTA GRIDO C/RELLENO</t>
        </is>
      </c>
      <c r="C64" s="21" t="n">
        <v>22839.12</v>
      </c>
    </row>
    <row r="65">
      <c r="A65" t="n">
        <v>4000593</v>
      </c>
      <c r="B65" t="inlineStr">
        <is>
          <t>PACK 4 U DELICIA DE CHOCO.Y MANÍ - GRIDO</t>
        </is>
      </c>
      <c r="C65" s="21" t="n">
        <v>8588.91</v>
      </c>
    </row>
    <row r="66">
      <c r="A66" t="n">
        <v>4000607</v>
      </c>
      <c r="B66" t="inlineStr">
        <is>
          <t>FRUTOS ROJOS AL AGUA 7,800 KG GRIDO</t>
        </is>
      </c>
      <c r="C66" s="21" t="n">
        <v>10232.17</v>
      </c>
    </row>
    <row r="67">
      <c r="A67" t="n">
        <v>4000608</v>
      </c>
      <c r="B67" t="inlineStr">
        <is>
          <t>CANDY 7,800 KG GRIDO</t>
        </is>
      </c>
      <c r="C67" s="21" t="n">
        <v>19297.96</v>
      </c>
    </row>
    <row r="68">
      <c r="A68" t="n">
        <v>4000670</v>
      </c>
      <c r="B68" t="inlineStr">
        <is>
          <t>PACK X 6 POTE X 1 LT MENTA GRANIZ. GRIDO</t>
        </is>
      </c>
      <c r="C68" s="21" t="n">
        <v>9436.969999999999</v>
      </c>
    </row>
    <row r="69">
      <c r="A69" t="n">
        <v>4000742</v>
      </c>
      <c r="B69" t="inlineStr">
        <is>
          <t>PACK X 6 CAJ. ALFAJOR HELADO SHOT - GR</t>
        </is>
      </c>
      <c r="C69" s="21" t="n">
        <v>18276.17</v>
      </c>
    </row>
    <row r="70">
      <c r="A70" t="n">
        <v>4000754</v>
      </c>
      <c r="B70" t="inlineStr">
        <is>
          <t>PISTACHO 7,800 KG GRIDO</t>
        </is>
      </c>
      <c r="C70" s="21" t="n">
        <v>22569.84</v>
      </c>
    </row>
    <row r="71">
      <c r="A71" t="n">
        <v>4000827</v>
      </c>
      <c r="B71" t="inlineStr">
        <is>
          <t>CHOCO BLANCO OREO 7,800 KG GRIDO</t>
        </is>
      </c>
      <c r="C71" s="21" t="n">
        <v>22569.84</v>
      </c>
    </row>
    <row r="72">
      <c r="A72" t="n">
        <v>4000835</v>
      </c>
      <c r="B72" t="inlineStr">
        <is>
          <t>PACK X 6 TORTA COOKIES AND CREAM GR</t>
        </is>
      </c>
      <c r="C72" s="21" t="n">
        <v>22839.12</v>
      </c>
    </row>
    <row r="73">
      <c r="A73" t="n">
        <v>4000843</v>
      </c>
      <c r="B73" t="inlineStr">
        <is>
          <t>PACK X 6 TORTA COOKIES MOUSSE GR</t>
        </is>
      </c>
      <c r="C73" s="21" t="n">
        <v>22839.12</v>
      </c>
    </row>
    <row r="74">
      <c r="A74" t="n">
        <v>6002671</v>
      </c>
      <c r="B74" t="inlineStr">
        <is>
          <t>PACK 12 CAJAS PIZZA FRIZZIO 510 grs.</t>
        </is>
      </c>
      <c r="C74" s="21" t="n">
        <v>31663</v>
      </c>
    </row>
    <row r="75">
      <c r="A75" t="n">
        <v>6002672</v>
      </c>
      <c r="B75" t="inlineStr">
        <is>
          <t>PACK 16 UN. BASTONCITOS FRIZZIO 380 grs</t>
        </is>
      </c>
      <c r="C75" s="21" t="n">
        <v>37146.62</v>
      </c>
    </row>
    <row r="76">
      <c r="A76" t="n">
        <v>6002673</v>
      </c>
      <c r="B76" t="inlineStr">
        <is>
          <t>PACK 16 PECHUGUITA FRIZZIO 380 grs</t>
        </is>
      </c>
      <c r="C76" s="21" t="n">
        <v>32867.61</v>
      </c>
    </row>
    <row r="77">
      <c r="A77" t="n">
        <v>6002674</v>
      </c>
      <c r="B77" t="inlineStr">
        <is>
          <t>PACK 20 UN. MINI PIZZA FRIZZIO X 180 grs</t>
        </is>
      </c>
      <c r="C77" s="21" t="n">
        <v>25003.3</v>
      </c>
    </row>
    <row r="78">
      <c r="A78" t="n">
        <v>6002675</v>
      </c>
      <c r="B78" t="inlineStr">
        <is>
          <t>PACK 12 PIZZAS INTEGRAL FRIZZIO 530 grs.</t>
        </is>
      </c>
      <c r="C78" s="21" t="n">
        <v>32928.5</v>
      </c>
    </row>
    <row r="79">
      <c r="A79" t="n">
        <v>6002676</v>
      </c>
      <c r="B79" t="inlineStr">
        <is>
          <t>PACK 72 EMPANADAS DE CARNE DE 70 grs.</t>
        </is>
      </c>
      <c r="C79" s="21" t="n">
        <v>32483</v>
      </c>
    </row>
    <row r="80">
      <c r="A80" t="n">
        <v>6002677</v>
      </c>
      <c r="B80" t="inlineStr">
        <is>
          <t>PACK 72 EMPANADAS DE JyQ DE 70 grs.</t>
        </is>
      </c>
      <c r="C80" s="21" t="n">
        <v>32483</v>
      </c>
    </row>
    <row r="81">
      <c r="A81" t="n">
        <v>6002678</v>
      </c>
      <c r="B81" t="inlineStr">
        <is>
          <t>PACK 11 PIZZAS DE CEBOLLA FRIZZIO 540 gr</t>
        </is>
      </c>
      <c r="C81" s="21" t="n">
        <v>28437</v>
      </c>
    </row>
    <row r="82">
      <c r="A82" t="n">
        <v>6002679</v>
      </c>
      <c r="B82" t="inlineStr">
        <is>
          <t>PACK 11 PIZZAS DE JAMON FRIZZIO 535 grs.</t>
        </is>
      </c>
      <c r="C82" s="21" t="n">
        <v>31608.8</v>
      </c>
    </row>
    <row r="83">
      <c r="A83" t="n">
        <v>6002680</v>
      </c>
      <c r="B83" t="inlineStr">
        <is>
          <t>PACK X 8 PIZZA FRIZZIO T. CASERA 665 grs</t>
        </is>
      </c>
      <c r="C83" s="21" t="n">
        <v>31554.6</v>
      </c>
    </row>
    <row r="84">
      <c r="A84" t="n">
        <v>6002681</v>
      </c>
      <c r="B84" t="inlineStr">
        <is>
          <t>CAPUCHON SUNDAE GO SHOT X 70 UN</t>
        </is>
      </c>
      <c r="C84" s="21" t="n">
        <v>17644.9</v>
      </c>
    </row>
    <row r="85">
      <c r="A85" t="n">
        <v>6002682</v>
      </c>
      <c r="B85" t="inlineStr">
        <is>
          <t>PACK X 6 POSTRE CREMOSO - TIRAMISU</t>
        </is>
      </c>
      <c r="C85" s="21" t="n">
        <v>31567.5</v>
      </c>
    </row>
    <row r="86">
      <c r="A86" t="n">
        <v>6002683</v>
      </c>
      <c r="B86" t="inlineStr">
        <is>
          <t>PACK X 6 POSTRE CREMOSO -  LEMON PIE</t>
        </is>
      </c>
      <c r="C86" s="21" t="n">
        <v>31567.5</v>
      </c>
    </row>
    <row r="87">
      <c r="A87" t="n">
        <v>6002684</v>
      </c>
      <c r="B87" t="inlineStr">
        <is>
          <t>PACK X 6 POSTRE CREMOSO- CREM DE CHOCOL.</t>
        </is>
      </c>
      <c r="C87" s="21" t="n">
        <v>31567.5</v>
      </c>
    </row>
    <row r="88">
      <c r="A88" t="n">
        <v>6002685</v>
      </c>
      <c r="B88" t="inlineStr">
        <is>
          <t>PACK X 6 POSTRE CREMOSO -  CHEESECAKE</t>
        </is>
      </c>
      <c r="C88" s="21" t="n">
        <v>31567.5</v>
      </c>
    </row>
    <row r="89">
      <c r="A89" t="n">
        <v>6002686</v>
      </c>
      <c r="B89" t="inlineStr">
        <is>
          <t>PACK 60 HAMBURGUESAS 80 Grs 30 x 2 Un</t>
        </is>
      </c>
      <c r="C89" s="21" t="n">
        <v>29864.9</v>
      </c>
    </row>
    <row r="90">
      <c r="A90" t="n">
        <v>6002687</v>
      </c>
      <c r="B90" t="inlineStr">
        <is>
          <t>PACK 16 PAPAS FRITAS FRIZZIO.x720 grs</t>
        </is>
      </c>
      <c r="C90" s="21" t="n">
        <v>24620.4</v>
      </c>
    </row>
    <row r="91">
      <c r="A91" t="n">
        <v>6002690</v>
      </c>
      <c r="B91" t="inlineStr">
        <is>
          <t>PACK 4 CAJAS YOG.HEL. S/TACC MAN/MAR -GR</t>
        </is>
      </c>
      <c r="C91" s="21" t="n">
        <v>22786.28</v>
      </c>
    </row>
    <row r="92">
      <c r="A92" t="n">
        <v>6002691</v>
      </c>
      <c r="B92" t="inlineStr">
        <is>
          <t>PACK 4 CAJAS YOG.HEL. S/TACC FRUTIL - GR</t>
        </is>
      </c>
      <c r="C92" s="21" t="n">
        <v>22786.28</v>
      </c>
    </row>
    <row r="93">
      <c r="A93" t="n">
        <v>6002692</v>
      </c>
      <c r="B93" t="inlineStr">
        <is>
          <t>PACK 4 CAJAS YOG.HEL. S/TACC FR BOS -GR</t>
        </is>
      </c>
      <c r="C93" s="21" t="n">
        <v>22786.28</v>
      </c>
    </row>
    <row r="94">
      <c r="A94" t="n">
        <v>6002705</v>
      </c>
      <c r="B94" t="inlineStr">
        <is>
          <t>SIMPLOT CORTE TRADI. 7 UN X 2 KG C/U</t>
        </is>
      </c>
      <c r="C94" s="21" t="n">
        <v>27762</v>
      </c>
    </row>
    <row r="95">
      <c r="A95" t="n">
        <v>6002706</v>
      </c>
      <c r="B95" t="inlineStr">
        <is>
          <t>FRAMBUESA DOBLE CHOCO 24 UN X 160 GR GIO</t>
        </is>
      </c>
      <c r="C95" s="21" t="n">
        <v>81486.10000000001</v>
      </c>
    </row>
    <row r="96">
      <c r="A96" t="n">
        <v>6002707</v>
      </c>
      <c r="B96" t="inlineStr">
        <is>
          <t>FRUTILLA BAÑADA C/CHOC 24 UNX 160 GR GI</t>
        </is>
      </c>
      <c r="C96" s="21" t="n">
        <v>81486.10000000001</v>
      </c>
    </row>
    <row r="97">
      <c r="A97" t="n">
        <v>6002709</v>
      </c>
      <c r="B97" t="inlineStr">
        <is>
          <t>PACK 4 CAJ FRUTILLA HEL S/AZUCAR X 6 UN</t>
        </is>
      </c>
      <c r="C97" s="21" t="n">
        <v>22786.28</v>
      </c>
    </row>
    <row r="98">
      <c r="A98" t="n">
        <v>6002710</v>
      </c>
      <c r="B98" t="inlineStr">
        <is>
          <t>PACK 4 CAJ CHOCO HEL S/AZUCAR X 6 UN</t>
        </is>
      </c>
      <c r="C98" s="21" t="n">
        <v>22786.28</v>
      </c>
    </row>
    <row r="99">
      <c r="A99" t="n">
        <v>6002711</v>
      </c>
      <c r="B99" t="inlineStr">
        <is>
          <t>PACK 4 CAJ AM C/DURAZ HEL S/AZUCAR X 6UN</t>
        </is>
      </c>
      <c r="C99" s="21" t="n">
        <v>22786.28</v>
      </c>
    </row>
    <row r="100">
      <c r="A100" t="n">
        <v>6002712</v>
      </c>
      <c r="B100" t="inlineStr">
        <is>
          <t>SMOOTHIE N°6 KW-AN-DR THE SUBLIM x 14 U</t>
        </is>
      </c>
      <c r="C100" s="21" t="n">
        <v>14848.6</v>
      </c>
    </row>
    <row r="101">
      <c r="A101" t="n">
        <v>6002713</v>
      </c>
      <c r="B101" t="inlineStr">
        <is>
          <t>SMOOTHIE N°7 AR-FR-BN BLUE SUNSETx 14 U</t>
        </is>
      </c>
      <c r="C101" s="21" t="n">
        <v>14848.6</v>
      </c>
    </row>
    <row r="102">
      <c r="A102" t="n">
        <v>6002714</v>
      </c>
      <c r="B102" t="inlineStr">
        <is>
          <t>SMOOTHIE N°1 MG-FR-BN COOL MANGO x 14 U</t>
        </is>
      </c>
      <c r="C102" s="21" t="n">
        <v>14848.6</v>
      </c>
    </row>
    <row r="103">
      <c r="A103" t="n">
        <v>6002715</v>
      </c>
      <c r="B103" t="inlineStr">
        <is>
          <t>SMOOTHIE N°4 DR-AN-FR VITA LIGHT x 14 U</t>
        </is>
      </c>
      <c r="C103" s="21" t="n">
        <v>14848.6</v>
      </c>
    </row>
    <row r="104">
      <c r="A104" t="n">
        <v>6002819</v>
      </c>
      <c r="B104" t="inlineStr">
        <is>
          <t>PACK X 6 POSTRE CREMOSO- CREM. DE FRUTAS</t>
        </is>
      </c>
      <c r="C104" s="21" t="n">
        <v>31567.5</v>
      </c>
    </row>
    <row r="105">
      <c r="A105" t="n">
        <v>6002842</v>
      </c>
      <c r="B105" t="inlineStr">
        <is>
          <t>MEDIALUNA  X 144 UN FUDY</t>
        </is>
      </c>
      <c r="C105" s="21" t="n">
        <v>50110.2</v>
      </c>
    </row>
    <row r="106">
      <c r="A106" t="n">
        <v>6002855</v>
      </c>
      <c r="B106" t="inlineStr">
        <is>
          <t>PACK 4 CAJAS POSTRE VEGANO CHOCOLATE -GR</t>
        </is>
      </c>
      <c r="C106" s="21" t="n">
        <v>22786.28</v>
      </c>
    </row>
    <row r="107">
      <c r="A107" t="n">
        <v>6002856</v>
      </c>
      <c r="B107" t="inlineStr">
        <is>
          <t>PACK 4 CAJAS POSTRE VEGANO VANILLA - GR</t>
        </is>
      </c>
      <c r="C107" s="21" t="n">
        <v>22786.28</v>
      </c>
    </row>
    <row r="108">
      <c r="A108" t="n">
        <v>6002857</v>
      </c>
      <c r="B108" t="inlineStr">
        <is>
          <t>PACK 4 CAJAS POSTRE VEGANO MANI - GR</t>
        </is>
      </c>
      <c r="C108" s="21" t="n">
        <v>22786.28</v>
      </c>
    </row>
  </sheetData>
  <autoFilter ref="A1:C10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Hoja15">
    <outlinePr summaryBelow="1" summaryRight="1"/>
    <pageSetUpPr/>
  </sheetPr>
  <dimension ref="A1:D17"/>
  <sheetViews>
    <sheetView showGridLines="0" workbookViewId="0">
      <selection activeCell="A1" sqref="A1:D10"/>
    </sheetView>
  </sheetViews>
  <sheetFormatPr baseColWidth="10" defaultColWidth="11.5" defaultRowHeight="15"/>
  <cols>
    <col width="23.5" bestFit="1" customWidth="1" min="1" max="1"/>
    <col width="43.1640625" bestFit="1" customWidth="1" min="2" max="2"/>
    <col width="20.83203125" bestFit="1" customWidth="1" style="1" min="3" max="3"/>
    <col width="16.1640625" bestFit="1" customWidth="1" min="4" max="4"/>
  </cols>
  <sheetData>
    <row r="1">
      <c r="A1" s="2" t="inlineStr">
        <is>
          <t xml:space="preserve">FAMILIAS </t>
        </is>
      </c>
      <c r="B1" s="2" t="inlineStr">
        <is>
          <t xml:space="preserve">PRODUCTOS </t>
        </is>
      </c>
      <c r="C1" s="3" t="inlineStr">
        <is>
          <t>BASES</t>
        </is>
      </c>
      <c r="D1" s="3" t="inlineStr">
        <is>
          <t>PORCENTAJE BASE</t>
        </is>
      </c>
    </row>
    <row r="2">
      <c r="A2" s="4" t="inlineStr">
        <is>
          <t xml:space="preserve">GRANEL </t>
        </is>
      </c>
      <c r="B2" s="5" t="inlineStr">
        <is>
          <t xml:space="preserve">TODOS </t>
        </is>
      </c>
      <c r="C2" s="6" t="n">
        <v>25</v>
      </c>
      <c r="D2" s="6" t="n">
        <v>20</v>
      </c>
    </row>
    <row r="3">
      <c r="A3" s="4" t="inlineStr">
        <is>
          <t xml:space="preserve">POTES 3L </t>
        </is>
      </c>
      <c r="B3" s="5" t="inlineStr">
        <is>
          <t xml:space="preserve">TODOS </t>
        </is>
      </c>
      <c r="C3" s="6" t="n">
        <v>15</v>
      </c>
      <c r="D3" s="6" t="n">
        <v>16.35</v>
      </c>
    </row>
    <row r="4">
      <c r="A4" s="4" t="inlineStr">
        <is>
          <t xml:space="preserve">TORTAS </t>
        </is>
      </c>
      <c r="B4" s="5" t="inlineStr">
        <is>
          <t xml:space="preserve">TODOS </t>
        </is>
      </c>
      <c r="C4" s="6" t="n">
        <v>10</v>
      </c>
      <c r="D4" s="6" t="n">
        <v>12</v>
      </c>
    </row>
    <row r="5">
      <c r="A5" s="4" t="inlineStr">
        <is>
          <t>TENTACIÓN</t>
        </is>
      </c>
      <c r="B5" s="5" t="inlineStr">
        <is>
          <t xml:space="preserve">TODOS </t>
        </is>
      </c>
      <c r="C5" s="6" t="n">
        <v>15</v>
      </c>
      <c r="D5" s="6" t="n">
        <v>7.581818181818182</v>
      </c>
    </row>
    <row r="6" ht="15.75" customHeight="1">
      <c r="A6" s="4" t="inlineStr">
        <is>
          <t xml:space="preserve">PALITOS </t>
        </is>
      </c>
      <c r="B6" s="5" t="inlineStr">
        <is>
          <t xml:space="preserve">TODOS </t>
        </is>
      </c>
      <c r="C6" s="6" t="n">
        <v>15</v>
      </c>
      <c r="D6" s="6" t="n">
        <v>12.3</v>
      </c>
    </row>
    <row r="7">
      <c r="A7" s="4" t="inlineStr">
        <is>
          <t>ESCOCES-SHOT</t>
        </is>
      </c>
      <c r="B7" s="5" t="inlineStr">
        <is>
          <t>ESCOCES-SHOT</t>
        </is>
      </c>
      <c r="C7" s="6" t="n">
        <v>10</v>
      </c>
      <c r="D7" s="6" t="n">
        <v>7.7</v>
      </c>
    </row>
    <row r="8">
      <c r="A8" s="4" t="inlineStr">
        <is>
          <t xml:space="preserve">PORCIÓN </t>
        </is>
      </c>
      <c r="B8" s="5" t="inlineStr">
        <is>
          <t>ALMENDRADO- SUIZO- CASATTA</t>
        </is>
      </c>
      <c r="C8" s="6" t="n">
        <v>10</v>
      </c>
      <c r="D8" s="6" t="n">
        <v>7.7</v>
      </c>
    </row>
    <row r="9">
      <c r="A9" s="4" t="inlineStr">
        <is>
          <t>BARRAS</t>
        </is>
      </c>
      <c r="B9" s="5" t="inlineStr">
        <is>
          <t xml:space="preserve">DELICIA-CROCANTINO-VAINILLA SPLIT-CROCANTE  </t>
        </is>
      </c>
      <c r="C9" s="6" t="n">
        <v>12</v>
      </c>
      <c r="D9" s="6" t="n">
        <v>6.992727272727272</v>
      </c>
    </row>
    <row r="10">
      <c r="A10" s="31" t="inlineStr">
        <is>
          <t xml:space="preserve">ALIMENTOS CONGELADOS </t>
        </is>
      </c>
      <c r="B10" s="32" t="inlineStr">
        <is>
          <t xml:space="preserve">TODOS </t>
        </is>
      </c>
      <c r="C10" s="6" t="n">
        <v>9</v>
      </c>
      <c r="D10" s="6" t="n">
        <v>14</v>
      </c>
    </row>
    <row r="17">
      <c r="C1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2023-08-25T11:44:13Z</dcterms:created>
  <dcterms:modified xsi:type="dcterms:W3CDTF">2026-01-06T13:27:45Z</dcterms:modified>
  <cp:lastModifiedBy>Ale Yankilevich</cp:lastModifiedBy>
</cp:coreProperties>
</file>